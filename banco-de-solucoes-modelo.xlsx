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4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12.xml" ContentType="application/vnd.openxmlformats-officedocument.drawing+xml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1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Painel" sheetId="2" state="visible" r:id="rId4"/>
    <sheet name="Fontes e Parcerias" sheetId="3" state="visible" r:id="rId5"/>
    <sheet name="Conversas" sheetId="4" state="visible" r:id="rId6"/>
    <sheet name="Geral - Problemas" sheetId="5" state="visible" r:id="rId7"/>
    <sheet name="Geral - Soluções" sheetId="6" state="visible" r:id="rId8"/>
    <sheet name="Mentoring - Problemas" sheetId="7" state="visible" r:id="rId9"/>
    <sheet name="Mentoring - Soluções" sheetId="8" state="visible" r:id="rId10"/>
    <sheet name="Feira - Problemas" sheetId="9" state="visible" r:id="rId11"/>
    <sheet name="Feira - Soluções" sheetId="10" state="visible" r:id="rId12"/>
    <sheet name="Inova - Problemas" sheetId="11" state="visible" r:id="rId13"/>
    <sheet name="Inova - Soluções" sheetId="12" state="visible" r:id="rId14"/>
    <sheet name="Sensibilizando - Problemas" sheetId="13" state="visible" r:id="rId15"/>
    <sheet name="Sensibilizando - Soluções" sheetId="14" state="visible" r:id="rId16"/>
    <sheet name="Listas" sheetId="15" state="visible" r:id="rId17"/>
  </sheets>
  <definedNames>
    <definedName function="false" hidden="false" localSheetId="3" name="_xlnm.Print_Titles" vbProcedure="false">Conversas!$3:$4</definedName>
    <definedName function="false" hidden="true" localSheetId="3" name="_xlnm._FilterDatabase" vbProcedure="false">Conversas!$A$4:$K$204</definedName>
    <definedName function="false" hidden="false" localSheetId="8" name="_xlnm.Print_Titles" vbProcedure="false">'Feira - Problemas'!$3:$4</definedName>
    <definedName function="false" hidden="true" localSheetId="8" name="_xlnm._FilterDatabase" vbProcedure="false">'Feira - Problemas'!$A$4:$R$104</definedName>
    <definedName function="false" hidden="false" localSheetId="9" name="_xlnm.Print_Titles" vbProcedure="false">'Feira - Soluções'!$3:$4</definedName>
    <definedName function="false" hidden="true" localSheetId="9" name="_xlnm._FilterDatabase" vbProcedure="false">'Feira - Soluções'!$A$4:$U$104</definedName>
    <definedName function="false" hidden="false" localSheetId="2" name="_xlnm.Print_Titles" vbProcedure="false">'Fontes e Parcerias'!$3:$4</definedName>
    <definedName function="false" hidden="true" localSheetId="2" name="_xlnm._FilterDatabase" vbProcedure="false">'Fontes e Parcerias'!$A$4:$S$154</definedName>
    <definedName function="false" hidden="false" localSheetId="4" name="_xlnm.Print_Titles" vbProcedure="false">'Geral - Problemas'!$3:$4</definedName>
    <definedName function="false" hidden="true" localSheetId="4" name="_xlnm._FilterDatabase" vbProcedure="false">'Geral - Problemas'!$A$4:$R$104</definedName>
    <definedName function="false" hidden="false" localSheetId="5" name="_xlnm.Print_Titles" vbProcedure="false">'Geral - Soluções'!$3:$4</definedName>
    <definedName function="false" hidden="true" localSheetId="5" name="_xlnm._FilterDatabase" vbProcedure="false">'Geral - Soluções'!$A$4:$U$104</definedName>
    <definedName function="false" hidden="false" localSheetId="10" name="_xlnm.Print_Titles" vbProcedure="false">'Inova - Problemas'!$3:$4</definedName>
    <definedName function="false" hidden="true" localSheetId="10" name="_xlnm._FilterDatabase" vbProcedure="false">'Inova - Problemas'!$A$4:$R$104</definedName>
    <definedName function="false" hidden="false" localSheetId="11" name="_xlnm.Print_Titles" vbProcedure="false">'Inova - Soluções'!$3:$4</definedName>
    <definedName function="false" hidden="true" localSheetId="11" name="_xlnm._FilterDatabase" vbProcedure="false">'Inova - Soluções'!$A$4:$U$104</definedName>
    <definedName function="false" hidden="false" localSheetId="6" name="_xlnm.Print_Titles" vbProcedure="false">'Mentoring - Problemas'!$3:$4</definedName>
    <definedName function="false" hidden="true" localSheetId="6" name="_xlnm._FilterDatabase" vbProcedure="false">'Mentoring - Problemas'!$A$4:$R$104</definedName>
    <definedName function="false" hidden="false" localSheetId="7" name="_xlnm.Print_Titles" vbProcedure="false">'Mentoring - Soluções'!$3:$4</definedName>
    <definedName function="false" hidden="true" localSheetId="7" name="_xlnm._FilterDatabase" vbProcedure="false">'Mentoring - Soluções'!$A$4:$U$104</definedName>
    <definedName function="false" hidden="false" localSheetId="12" name="_xlnm.Print_Titles" vbProcedure="false">'Sensibilizando - Problemas'!$3:$4</definedName>
    <definedName function="false" hidden="true" localSheetId="12" name="_xlnm._FilterDatabase" vbProcedure="false">'Sensibilizando - Problemas'!$A$4:$R$104</definedName>
    <definedName function="false" hidden="false" localSheetId="13" name="_xlnm.Print_Titles" vbProcedure="false">'Sensibilizando - Soluções'!$3:$4</definedName>
    <definedName function="false" hidden="true" localSheetId="13" name="_xlnm._FilterDatabase" vbProcedure="false">'Sensibilizando - Soluções'!$A$4:$U$104</definedName>
    <definedName function="false" hidden="false" name="lst_Categoria" vbProcedure="false">OFFSET(Listas!$A$5,0,0,MAX(1,COUNTA(Listas!$A$5:$A$40)),1)</definedName>
    <definedName function="false" hidden="false" name="lst_ComoDescobrimos" vbProcedure="false">OFFSET(Listas!$F$5,0,0,MAX(1,COUNTA(Listas!$F$5:$F$40)),1)</definedName>
    <definedName function="false" hidden="false" name="lst_Diretoria" vbProcedure="false">OFFSET(Listas!$D$5,0,0,MAX(1,COUNTA(Listas!$D$5:$D$40)),1)</definedName>
    <definedName function="false" hidden="false" name="lst_Fontes" vbProcedure="false">OFFSET('Fontes e Parcerias'!$S$5,0,0,MAX(1,IFERROR(LOOKUP(2,1/('Fontes e Parcerias'!$S$5:$S$500&lt;&gt;""),ROW('Fontes e Parcerias'!$S$5:$S$500)-4),1)),1)</definedName>
    <definedName function="false" hidden="false" name="lst_FormatoConversa" vbProcedure="false">OFFSET(Listas!$J$5,0,0,MAX(1,COUNTA(Listas!$J$5:$J$40)),1)</definedName>
    <definedName function="false" hidden="false" name="lst_Nivel3" vbProcedure="false">OFFSET(Listas!$H$5,0,0,MAX(1,COUNTA(Listas!$H$5:$H$40)),1)</definedName>
    <definedName function="false" hidden="false" name="lst_NivelRelacao" vbProcedure="false">OFFSET(Listas!$G$5,0,0,MAX(1,COUNTA(Listas!$G$5:$G$40)),1)</definedName>
    <definedName function="false" hidden="false" name="lst_Prob_FEI" vbProcedure="false">OFFSET('Feira - Problemas'!$R$5,0,0,MAX(1,IFERROR(LOOKUP(2,1/('Feira - Problemas'!$R$5:$R$500&lt;&gt;""),ROW('Feira - Problemas'!$R$5:$R$500)-4),1)),1)</definedName>
    <definedName function="false" hidden="false" name="lst_Prob_GER" vbProcedure="false">OFFSET('Geral - Problemas'!$R$5,0,0,MAX(1,IFERROR(LOOKUP(2,1/('Geral - Problemas'!$R$5:$R$500&lt;&gt;""),ROW('Geral - Problemas'!$R$5:$R$500)-4),1)),1)</definedName>
    <definedName function="false" hidden="false" name="lst_Prob_INO" vbProcedure="false">OFFSET('Inova - Problemas'!$R$5,0,0,MAX(1,IFERROR(LOOKUP(2,1/('Inova - Problemas'!$R$5:$R$500&lt;&gt;""),ROW('Inova - Problemas'!$R$5:$R$500)-4),1)),1)</definedName>
    <definedName function="false" hidden="false" name="lst_Prob_MEN" vbProcedure="false">OFFSET('Mentoring - Problemas'!$R$5,0,0,MAX(1,IFERROR(LOOKUP(2,1/('Mentoring - Problemas'!$R$5:$R$500&lt;&gt;""),ROW('Mentoring - Problemas'!$R$5:$R$500)-4),1)),1)</definedName>
    <definedName function="false" hidden="false" name="lst_Prob_SEN" vbProcedure="false">OFFSET('Sensibilizando - Problemas'!$R$5,0,0,MAX(1,IFERROR(LOOKUP(2,1/('Sensibilizando - Problemas'!$R$5:$R$500&lt;&gt;""),ROW('Sensibilizando - Problemas'!$R$5:$R$500)-4),1)),1)</definedName>
    <definedName function="false" hidden="false" name="lst_ProjetoCEMP" vbProcedure="false">OFFSET(Listas!$L$5,0,0,MAX(1,COUNTA(Listas!$L$5:$L$40)),1)</definedName>
    <definedName function="false" hidden="false" name="lst_SitPasso" vbProcedure="false">OFFSET(Listas!$K$5,0,0,MAX(1,COUNTA(Listas!$K$5:$K$40)),1)</definedName>
    <definedName function="false" hidden="false" name="lst_SitProblema" vbProcedure="false">OFFSET(Listas!$B$5,0,0,MAX(1,COUNTA(Listas!$B$5:$B$40)),1)</definedName>
    <definedName function="false" hidden="false" name="lst_StatusProblema" vbProcedure="false">OFFSET(Listas!$C$5,0,0,MAX(1,COUNTA(Listas!$C$5:$C$40)),1)</definedName>
    <definedName function="false" hidden="false" name="lst_StatusSolucao" vbProcedure="false">OFFSET(Listas!$I$5,0,0,MAX(1,COUNTA(Listas!$I$5:$I$40)),1)</definedName>
    <definedName function="false" hidden="false" name="lst_TipoOrg" vbProcedure="false">OFFSET(Listas!$E$5,0,0,MAX(1,COUNTA(Listas!$E$5:$E$40)),1)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4" authorId="0">
      <text>
        <r>
          <rPr>
            <sz val="10"/>
            <rFont val="Arial"/>
            <family val="2"/>
          </rPr>
          <t xml:space="preserve">Conta as conversas registradas na aba 'Conversas' para esta organização.</t>
        </r>
      </text>
    </comment>
    <comment ref="N4" authorId="0">
      <text>
        <r>
          <rPr>
            <sz val="10"/>
            <rFont val="Arial"/>
            <family val="2"/>
          </rPr>
          <t xml:space="preserve">Data da conversa mais recente registrada na aba 'Conversas'.</t>
        </r>
      </text>
    </comment>
    <comment ref="P4" authorId="0">
      <text>
        <r>
          <rPr>
            <sz val="10"/>
            <rFont val="Arial"/>
            <family val="2"/>
          </rPr>
          <t xml:space="preserve">Atrasado = a data do próximo contato já passou · Esta semana = faltam 7 dias ou menos.</t>
        </r>
      </text>
    </comment>
    <comment ref="Q4" authorId="0">
      <text>
        <r>
          <rPr>
            <sz val="10"/>
            <rFont val="Arial"/>
            <family val="2"/>
          </rPr>
          <t xml:space="preserve">Soma das soluções cadastradas (em todas as abas de Soluções) que vieram desta organização.</t>
        </r>
      </text>
    </comment>
    <comment ref="S4" authorId="0">
      <text>
        <r>
          <rPr>
            <sz val="10"/>
            <rFont val="Arial"/>
            <family val="2"/>
          </rPr>
          <t xml:space="preserve">Coluna de sistema: alimenta as listas suspensas de Soluções e Conversas. Não apagar.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Ocorrendo hoje = já acontece no CEMP. Risco potencial = ainda não aconteceu, mas pode acontecer.</t>
        </r>
      </text>
    </comment>
    <comment ref="G4" authorId="0">
      <text>
        <r>
          <rPr>
            <sz val="10"/>
            <rFont val="Arial"/>
            <family val="2"/>
          </rPr>
          <t xml:space="preserve">Quanto o problema prejudica o CEMP? 1 = muito baixo · 2 = baixo · 3 = médio · 4 = alto · 5 = muito alto.</t>
        </r>
      </text>
    </comment>
    <comment ref="H4" authorId="0">
      <text>
        <r>
          <rPr>
            <sz val="10"/>
            <rFont val="Arial"/>
            <family val="2"/>
          </rPr>
          <t xml:space="preserve">Com que frequência acontece (ou a chance de acontecer)? 1 = raro · 3 = às vezes · 5 = sempre/quase certo.</t>
        </r>
      </text>
    </comment>
    <comment ref="I4" authorId="0">
      <text>
        <r>
          <rPr>
            <sz val="10"/>
            <rFont val="Arial"/>
            <family val="2"/>
          </rPr>
          <t xml:space="preserve">Score = Impacto × Probabilidade (1 a 25).</t>
        </r>
      </text>
    </comment>
    <comment ref="J4" authorId="0">
      <text>
        <r>
          <rPr>
            <sz val="10"/>
            <rFont val="Arial"/>
            <family val="2"/>
          </rPr>
          <t xml:space="preserve">Score 15–25 = Crítica · 9–14 = Alta · 4–8 = Média · 1–3 = Baixa.</t>
        </r>
      </text>
    </comment>
    <comment ref="N4" authorId="0">
      <text>
        <r>
          <rPr>
            <sz val="10"/>
            <rFont val="Arial"/>
            <family val="2"/>
          </rPr>
          <t xml:space="preserve">Conta quantas soluções da aba de Soluções estão vinculadas a este problema. Zero = problema ainda sem solução.</t>
        </r>
      </text>
    </comment>
    <comment ref="R4" authorId="0">
      <text>
        <r>
          <rPr>
            <sz val="10"/>
            <rFont val="Arial"/>
            <family val="2"/>
          </rPr>
          <t xml:space="preserve">Coluna de sistema: alimenta a lista suspensa da aba de Soluções. Não apagar.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Escolha na lista o problema cadastrado na aba de Problemas desta área.</t>
        </r>
      </text>
    </comment>
    <comment ref="E4" authorId="0">
      <text>
        <r>
          <rPr>
            <sz val="10"/>
            <rFont val="Arial"/>
            <family val="2"/>
          </rPr>
          <t xml:space="preserve">Escolha na lista a organização cadastrada em 'Fontes e Parcerias'. Se ainda não existe, cadastre lá primeiro.</t>
        </r>
      </text>
    </comment>
    <comment ref="H4" authorId="0">
      <text>
        <r>
          <rPr>
            <sz val="10"/>
            <rFont val="Arial"/>
            <family val="2"/>
          </rPr>
          <t xml:space="preserve">Escreva o passo a passo do jeito que outra pessoa da diretoria conseguiria executar.</t>
        </r>
      </text>
    </comment>
    <comment ref="K4" authorId="0">
      <text>
        <r>
          <rPr>
            <sz val="10"/>
            <rFont val="Arial"/>
            <family val="2"/>
          </rPr>
          <t xml:space="preserve">Baixo = poucos dias e poucas pessoas · Médio = algumas semanas · Alto = exige equipe, verba ou meses.</t>
        </r>
      </text>
    </comment>
    <comment ref="L4" authorId="0">
      <text>
        <r>
          <rPr>
            <sz val="10"/>
            <rFont val="Arial"/>
            <family val="2"/>
          </rPr>
          <t xml:space="preserve">Quanto essa solução deve melhorar o problema? Baixo · Médio · Alto.</t>
        </r>
      </text>
    </comment>
    <comment ref="M4" authorId="0">
      <text>
        <r>
          <rPr>
            <sz val="10"/>
            <rFont val="Arial"/>
            <family val="2"/>
          </rPr>
          <t xml:space="preserve">Cruza Impacto esperado × Esforço: Quick win = alto impacto com baixo esforço · Alto retorno = impacto maior que o esforço · Estratégica = alto impacto e alto esforço · Equilibrada = impacto igual ao esforço · Baixo retorno = esforço maior que o impacto.</t>
        </r>
      </text>
    </comment>
    <comment ref="N4" authorId="0">
      <text>
        <r>
          <rPr>
            <sz val="10"/>
            <rFont val="Arial"/>
            <family val="2"/>
          </rPr>
          <t xml:space="preserve">Números e resultados que a fonte compartilhou (ex.: taxa de retenção antes/depois, nº de participantes, custo real).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Ocorrendo hoje = já acontece no CEMP. Risco potencial = ainda não aconteceu, mas pode acontecer.</t>
        </r>
      </text>
    </comment>
    <comment ref="G4" authorId="0">
      <text>
        <r>
          <rPr>
            <sz val="10"/>
            <rFont val="Arial"/>
            <family val="2"/>
          </rPr>
          <t xml:space="preserve">Quanto o problema prejudica o CEMP? 1 = muito baixo · 2 = baixo · 3 = médio · 4 = alto · 5 = muito alto.</t>
        </r>
      </text>
    </comment>
    <comment ref="H4" authorId="0">
      <text>
        <r>
          <rPr>
            <sz val="10"/>
            <rFont val="Arial"/>
            <family val="2"/>
          </rPr>
          <t xml:space="preserve">Com que frequência acontece (ou a chance de acontecer)? 1 = raro · 3 = às vezes · 5 = sempre/quase certo.</t>
        </r>
      </text>
    </comment>
    <comment ref="I4" authorId="0">
      <text>
        <r>
          <rPr>
            <sz val="10"/>
            <rFont val="Arial"/>
            <family val="2"/>
          </rPr>
          <t xml:space="preserve">Score = Impacto × Probabilidade (1 a 25).</t>
        </r>
      </text>
    </comment>
    <comment ref="J4" authorId="0">
      <text>
        <r>
          <rPr>
            <sz val="10"/>
            <rFont val="Arial"/>
            <family val="2"/>
          </rPr>
          <t xml:space="preserve">Score 15–25 = Crítica · 9–14 = Alta · 4–8 = Média · 1–3 = Baixa.</t>
        </r>
      </text>
    </comment>
    <comment ref="N4" authorId="0">
      <text>
        <r>
          <rPr>
            <sz val="10"/>
            <rFont val="Arial"/>
            <family val="2"/>
          </rPr>
          <t xml:space="preserve">Conta quantas soluções da aba de Soluções estão vinculadas a este problema. Zero = problema ainda sem solução.</t>
        </r>
      </text>
    </comment>
    <comment ref="R4" authorId="0">
      <text>
        <r>
          <rPr>
            <sz val="10"/>
            <rFont val="Arial"/>
            <family val="2"/>
          </rPr>
          <t xml:space="preserve">Coluna de sistema: alimenta a lista suspensa da aba de Soluções. Não apagar.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Escolha na lista o problema cadastrado na aba de Problemas desta área.</t>
        </r>
      </text>
    </comment>
    <comment ref="E4" authorId="0">
      <text>
        <r>
          <rPr>
            <sz val="10"/>
            <rFont val="Arial"/>
            <family val="2"/>
          </rPr>
          <t xml:space="preserve">Escolha na lista a organização cadastrada em 'Fontes e Parcerias'. Se ainda não existe, cadastre lá primeiro.</t>
        </r>
      </text>
    </comment>
    <comment ref="H4" authorId="0">
      <text>
        <r>
          <rPr>
            <sz val="10"/>
            <rFont val="Arial"/>
            <family val="2"/>
          </rPr>
          <t xml:space="preserve">Escreva o passo a passo do jeito que outra pessoa da diretoria conseguiria executar.</t>
        </r>
      </text>
    </comment>
    <comment ref="K4" authorId="0">
      <text>
        <r>
          <rPr>
            <sz val="10"/>
            <rFont val="Arial"/>
            <family val="2"/>
          </rPr>
          <t xml:space="preserve">Baixo = poucos dias e poucas pessoas · Médio = algumas semanas · Alto = exige equipe, verba ou meses.</t>
        </r>
      </text>
    </comment>
    <comment ref="L4" authorId="0">
      <text>
        <r>
          <rPr>
            <sz val="10"/>
            <rFont val="Arial"/>
            <family val="2"/>
          </rPr>
          <t xml:space="preserve">Quanto essa solução deve melhorar o problema? Baixo · Médio · Alto.</t>
        </r>
      </text>
    </comment>
    <comment ref="M4" authorId="0">
      <text>
        <r>
          <rPr>
            <sz val="10"/>
            <rFont val="Arial"/>
            <family val="2"/>
          </rPr>
          <t xml:space="preserve">Cruza Impacto esperado × Esforço: Quick win = alto impacto com baixo esforço · Alto retorno = impacto maior que o esforço · Estratégica = alto impacto e alto esforço · Equilibrada = impacto igual ao esforço · Baixo retorno = esforço maior que o impacto.</t>
        </r>
      </text>
    </comment>
    <comment ref="N4" authorId="0">
      <text>
        <r>
          <rPr>
            <sz val="10"/>
            <rFont val="Arial"/>
            <family val="2"/>
          </rPr>
          <t xml:space="preserve">Números e resultados que a fonte compartilhou (ex.: taxa de retenção antes/depois, nº de participantes, custo real).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Ocorrendo hoje = já acontece no CEMP. Risco potencial = ainda não aconteceu, mas pode acontecer.</t>
        </r>
      </text>
    </comment>
    <comment ref="G4" authorId="0">
      <text>
        <r>
          <rPr>
            <sz val="10"/>
            <rFont val="Arial"/>
            <family val="2"/>
          </rPr>
          <t xml:space="preserve">Quanto o problema prejudica o CEMP? 1 = muito baixo · 2 = baixo · 3 = médio · 4 = alto · 5 = muito alto.</t>
        </r>
      </text>
    </comment>
    <comment ref="H4" authorId="0">
      <text>
        <r>
          <rPr>
            <sz val="10"/>
            <rFont val="Arial"/>
            <family val="2"/>
          </rPr>
          <t xml:space="preserve">Com que frequência acontece (ou a chance de acontecer)? 1 = raro · 3 = às vezes · 5 = sempre/quase certo.</t>
        </r>
      </text>
    </comment>
    <comment ref="I4" authorId="0">
      <text>
        <r>
          <rPr>
            <sz val="10"/>
            <rFont val="Arial"/>
            <family val="2"/>
          </rPr>
          <t xml:space="preserve">Score = Impacto × Probabilidade (1 a 25).</t>
        </r>
      </text>
    </comment>
    <comment ref="J4" authorId="0">
      <text>
        <r>
          <rPr>
            <sz val="10"/>
            <rFont val="Arial"/>
            <family val="2"/>
          </rPr>
          <t xml:space="preserve">Score 15–25 = Crítica · 9–14 = Alta · 4–8 = Média · 1–3 = Baixa.</t>
        </r>
      </text>
    </comment>
    <comment ref="N4" authorId="0">
      <text>
        <r>
          <rPr>
            <sz val="10"/>
            <rFont val="Arial"/>
            <family val="2"/>
          </rPr>
          <t xml:space="preserve">Conta quantas soluções da aba de Soluções estão vinculadas a este problema. Zero = problema ainda sem solução.</t>
        </r>
      </text>
    </comment>
    <comment ref="R4" authorId="0">
      <text>
        <r>
          <rPr>
            <sz val="10"/>
            <rFont val="Arial"/>
            <family val="2"/>
          </rPr>
          <t xml:space="preserve">Coluna de sistema: alimenta a lista suspensa da aba de Soluções. Não apagar.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Escolha na lista o problema cadastrado na aba de Problemas desta área.</t>
        </r>
      </text>
    </comment>
    <comment ref="E4" authorId="0">
      <text>
        <r>
          <rPr>
            <sz val="10"/>
            <rFont val="Arial"/>
            <family val="2"/>
          </rPr>
          <t xml:space="preserve">Escolha na lista a organização cadastrada em 'Fontes e Parcerias'. Se ainda não existe, cadastre lá primeiro.</t>
        </r>
      </text>
    </comment>
    <comment ref="H4" authorId="0">
      <text>
        <r>
          <rPr>
            <sz val="10"/>
            <rFont val="Arial"/>
            <family val="2"/>
          </rPr>
          <t xml:space="preserve">Escreva o passo a passo do jeito que outra pessoa da diretoria conseguiria executar.</t>
        </r>
      </text>
    </comment>
    <comment ref="K4" authorId="0">
      <text>
        <r>
          <rPr>
            <sz val="10"/>
            <rFont val="Arial"/>
            <family val="2"/>
          </rPr>
          <t xml:space="preserve">Baixo = poucos dias e poucas pessoas · Médio = algumas semanas · Alto = exige equipe, verba ou meses.</t>
        </r>
      </text>
    </comment>
    <comment ref="L4" authorId="0">
      <text>
        <r>
          <rPr>
            <sz val="10"/>
            <rFont val="Arial"/>
            <family val="2"/>
          </rPr>
          <t xml:space="preserve">Quanto essa solução deve melhorar o problema? Baixo · Médio · Alto.</t>
        </r>
      </text>
    </comment>
    <comment ref="M4" authorId="0">
      <text>
        <r>
          <rPr>
            <sz val="10"/>
            <rFont val="Arial"/>
            <family val="2"/>
          </rPr>
          <t xml:space="preserve">Cruza Impacto esperado × Esforço: Quick win = alto impacto com baixo esforço · Alto retorno = impacto maior que o esforço · Estratégica = alto impacto e alto esforço · Equilibrada = impacto igual ao esforço · Baixo retorno = esforço maior que o impacto.</t>
        </r>
      </text>
    </comment>
    <comment ref="N4" authorId="0">
      <text>
        <r>
          <rPr>
            <sz val="10"/>
            <rFont val="Arial"/>
            <family val="2"/>
          </rPr>
          <t xml:space="preserve">Números e resultados que a fonte compartilhou (ex.: taxa de retenção antes/depois, nº de participantes, custo real).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Ocorrendo hoje = já acontece no CEMP. Risco potencial = ainda não aconteceu, mas pode acontecer.</t>
        </r>
      </text>
    </comment>
    <comment ref="G4" authorId="0">
      <text>
        <r>
          <rPr>
            <sz val="10"/>
            <rFont val="Arial"/>
            <family val="2"/>
          </rPr>
          <t xml:space="preserve">Quanto o problema prejudica o CEMP? 1 = muito baixo · 2 = baixo · 3 = médio · 4 = alto · 5 = muito alto.</t>
        </r>
      </text>
    </comment>
    <comment ref="H4" authorId="0">
      <text>
        <r>
          <rPr>
            <sz val="10"/>
            <rFont val="Arial"/>
            <family val="2"/>
          </rPr>
          <t xml:space="preserve">Com que frequência acontece (ou a chance de acontecer)? 1 = raro · 3 = às vezes · 5 = sempre/quase certo.</t>
        </r>
      </text>
    </comment>
    <comment ref="I4" authorId="0">
      <text>
        <r>
          <rPr>
            <sz val="10"/>
            <rFont val="Arial"/>
            <family val="2"/>
          </rPr>
          <t xml:space="preserve">Score = Impacto × Probabilidade (1 a 25).</t>
        </r>
      </text>
    </comment>
    <comment ref="J4" authorId="0">
      <text>
        <r>
          <rPr>
            <sz val="10"/>
            <rFont val="Arial"/>
            <family val="2"/>
          </rPr>
          <t xml:space="preserve">Score 15–25 = Crítica · 9–14 = Alta · 4–8 = Média · 1–3 = Baixa.</t>
        </r>
      </text>
    </comment>
    <comment ref="N4" authorId="0">
      <text>
        <r>
          <rPr>
            <sz val="10"/>
            <rFont val="Arial"/>
            <family val="2"/>
          </rPr>
          <t xml:space="preserve">Conta quantas soluções da aba de Soluções estão vinculadas a este problema. Zero = problema ainda sem solução.</t>
        </r>
      </text>
    </comment>
    <comment ref="R4" authorId="0">
      <text>
        <r>
          <rPr>
            <sz val="10"/>
            <rFont val="Arial"/>
            <family val="2"/>
          </rPr>
          <t xml:space="preserve">Coluna de sistema: alimenta a lista suspensa da aba de Soluções. Não apagar.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Escolha na lista o problema cadastrado na aba de Problemas desta área.</t>
        </r>
      </text>
    </comment>
    <comment ref="E4" authorId="0">
      <text>
        <r>
          <rPr>
            <sz val="10"/>
            <rFont val="Arial"/>
            <family val="2"/>
          </rPr>
          <t xml:space="preserve">Escolha na lista a organização cadastrada em 'Fontes e Parcerias'. Se ainda não existe, cadastre lá primeiro.</t>
        </r>
      </text>
    </comment>
    <comment ref="H4" authorId="0">
      <text>
        <r>
          <rPr>
            <sz val="10"/>
            <rFont val="Arial"/>
            <family val="2"/>
          </rPr>
          <t xml:space="preserve">Escreva o passo a passo do jeito que outra pessoa da diretoria conseguiria executar.</t>
        </r>
      </text>
    </comment>
    <comment ref="K4" authorId="0">
      <text>
        <r>
          <rPr>
            <sz val="10"/>
            <rFont val="Arial"/>
            <family val="2"/>
          </rPr>
          <t xml:space="preserve">Baixo = poucos dias e poucas pessoas · Médio = algumas semanas · Alto = exige equipe, verba ou meses.</t>
        </r>
      </text>
    </comment>
    <comment ref="L4" authorId="0">
      <text>
        <r>
          <rPr>
            <sz val="10"/>
            <rFont val="Arial"/>
            <family val="2"/>
          </rPr>
          <t xml:space="preserve">Quanto essa solução deve melhorar o problema? Baixo · Médio · Alto.</t>
        </r>
      </text>
    </comment>
    <comment ref="M4" authorId="0">
      <text>
        <r>
          <rPr>
            <sz val="10"/>
            <rFont val="Arial"/>
            <family val="2"/>
          </rPr>
          <t xml:space="preserve">Cruza Impacto esperado × Esforço: Quick win = alto impacto com baixo esforço · Alto retorno = impacto maior que o esforço · Estratégica = alto impacto e alto esforço · Equilibrada = impacto igual ao esforço · Baixo retorno = esforço maior que o impacto.</t>
        </r>
      </text>
    </comment>
    <comment ref="N4" authorId="0">
      <text>
        <r>
          <rPr>
            <sz val="10"/>
            <rFont val="Arial"/>
            <family val="2"/>
          </rPr>
          <t xml:space="preserve">Números e resultados que a fonte compartilhou (ex.: taxa de retenção antes/depois, nº de participantes, custo real).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Ocorrendo hoje = já acontece no CEMP. Risco potencial = ainda não aconteceu, mas pode acontecer.</t>
        </r>
      </text>
    </comment>
    <comment ref="G4" authorId="0">
      <text>
        <r>
          <rPr>
            <sz val="10"/>
            <rFont val="Arial"/>
            <family val="2"/>
          </rPr>
          <t xml:space="preserve">Quanto o problema prejudica o CEMP? 1 = muito baixo · 2 = baixo · 3 = médio · 4 = alto · 5 = muito alto.</t>
        </r>
      </text>
    </comment>
    <comment ref="H4" authorId="0">
      <text>
        <r>
          <rPr>
            <sz val="10"/>
            <rFont val="Arial"/>
            <family val="2"/>
          </rPr>
          <t xml:space="preserve">Com que frequência acontece (ou a chance de acontecer)? 1 = raro · 3 = às vezes · 5 = sempre/quase certo.</t>
        </r>
      </text>
    </comment>
    <comment ref="I4" authorId="0">
      <text>
        <r>
          <rPr>
            <sz val="10"/>
            <rFont val="Arial"/>
            <family val="2"/>
          </rPr>
          <t xml:space="preserve">Score = Impacto × Probabilidade (1 a 25).</t>
        </r>
      </text>
    </comment>
    <comment ref="J4" authorId="0">
      <text>
        <r>
          <rPr>
            <sz val="10"/>
            <rFont val="Arial"/>
            <family val="2"/>
          </rPr>
          <t xml:space="preserve">Score 15–25 = Crítica · 9–14 = Alta · 4–8 = Média · 1–3 = Baixa.</t>
        </r>
      </text>
    </comment>
    <comment ref="N4" authorId="0">
      <text>
        <r>
          <rPr>
            <sz val="10"/>
            <rFont val="Arial"/>
            <family val="2"/>
          </rPr>
          <t xml:space="preserve">Conta quantas soluções da aba de Soluções estão vinculadas a este problema. Zero = problema ainda sem solução.</t>
        </r>
      </text>
    </comment>
    <comment ref="R4" authorId="0">
      <text>
        <r>
          <rPr>
            <sz val="10"/>
            <rFont val="Arial"/>
            <family val="2"/>
          </rPr>
          <t xml:space="preserve">Coluna de sistema: alimenta a lista suspensa da aba de Soluções. Não apagar.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Escolha na lista o problema cadastrado na aba de Problemas desta área.</t>
        </r>
      </text>
    </comment>
    <comment ref="E4" authorId="0">
      <text>
        <r>
          <rPr>
            <sz val="10"/>
            <rFont val="Arial"/>
            <family val="2"/>
          </rPr>
          <t xml:space="preserve">Escolha na lista a organização cadastrada em 'Fontes e Parcerias'. Se ainda não existe, cadastre lá primeiro.</t>
        </r>
      </text>
    </comment>
    <comment ref="H4" authorId="0">
      <text>
        <r>
          <rPr>
            <sz val="10"/>
            <rFont val="Arial"/>
            <family val="2"/>
          </rPr>
          <t xml:space="preserve">Escreva o passo a passo do jeito que outra pessoa da diretoria conseguiria executar.</t>
        </r>
      </text>
    </comment>
    <comment ref="K4" authorId="0">
      <text>
        <r>
          <rPr>
            <sz val="10"/>
            <rFont val="Arial"/>
            <family val="2"/>
          </rPr>
          <t xml:space="preserve">Baixo = poucos dias e poucas pessoas · Médio = algumas semanas · Alto = exige equipe, verba ou meses.</t>
        </r>
      </text>
    </comment>
    <comment ref="L4" authorId="0">
      <text>
        <r>
          <rPr>
            <sz val="10"/>
            <rFont val="Arial"/>
            <family val="2"/>
          </rPr>
          <t xml:space="preserve">Quanto essa solução deve melhorar o problema? Baixo · Médio · Alto.</t>
        </r>
      </text>
    </comment>
    <comment ref="M4" authorId="0">
      <text>
        <r>
          <rPr>
            <sz val="10"/>
            <rFont val="Arial"/>
            <family val="2"/>
          </rPr>
          <t xml:space="preserve">Cruza Impacto esperado × Esforço: Quick win = alto impacto com baixo esforço · Alto retorno = impacto maior que o esforço · Estratégica = alto impacto e alto esforço · Equilibrada = impacto igual ao esforço · Baixo retorno = esforço maior que o impacto.</t>
        </r>
      </text>
    </comment>
    <comment ref="N4" authorId="0">
      <text>
        <r>
          <rPr>
            <sz val="10"/>
            <rFont val="Arial"/>
            <family val="2"/>
          </rPr>
          <t xml:space="preserve">Números e resultados que a fonte compartilhou (ex.: taxa de retenção antes/depois, nº de participantes, custo real).</t>
        </r>
      </text>
    </comment>
  </commentList>
</comments>
</file>

<file path=xl/sharedStrings.xml><?xml version="1.0" encoding="utf-8"?>
<sst xmlns="http://schemas.openxmlformats.org/spreadsheetml/2006/main" count="2023" uniqueCount="1695">
  <si>
    <t xml:space="preserve">⬢  CEMP  ·  Banco de Soluções</t>
  </si>
  <si>
    <t xml:space="preserve">Diretoria de Pesquisa e Desenvolvimento  ·  Centro de Empreendedorismo da UFC</t>
  </si>
  <si>
    <t xml:space="preserve">COMO FUNCIONA</t>
  </si>
  <si>
    <t xml:space="preserve">1  Cadastre a fonte</t>
  </si>
  <si>
    <t xml:space="preserve">2  Registre o problema</t>
  </si>
  <si>
    <t xml:space="preserve">3  Registre a solução</t>
  </si>
  <si>
    <t xml:space="preserve">4  Acompanhe</t>
  </si>
  <si>
    <t xml:space="preserve">Em 'Fontes e Parcerias', registre a EJ, o projeto de extensão ou a empresa de onde veio a ideia. Cada uma ganha um ID (FNT-001…).</t>
  </si>
  <si>
    <t xml:space="preserve">Na aba de Problemas da área (Geral ou um projeto), descreva o problema — real ou potencial — e avalie Impacto × Probabilidade.</t>
  </si>
  <si>
    <t xml:space="preserve">Na aba de Soluções, escolha o problema e a fonte nas listas, explique como implantar e anexe dados e links.</t>
  </si>
  <si>
    <t xml:space="preserve">O Painel mostra cobertura, prioridades, quick wins e alertas. Anote reuniões em 'Conversas' para não perder aprendizados.</t>
  </si>
  <si>
    <t xml:space="preserve">MAPA DA PLANILHA  (clique no nome para ir até a aba)</t>
  </si>
  <si>
    <t xml:space="preserve">Painel</t>
  </si>
  <si>
    <t xml:space="preserve">Resumo automático: números por área, prioridades, quick wins, cobertura e alertas.</t>
  </si>
  <si>
    <t xml:space="preserve">Fontes e Parcerias</t>
  </si>
  <si>
    <t xml:space="preserve">Cadastro das EJs, projetos de extensão e empresas de onde vêm as ideias (IDs FNT-###).</t>
  </si>
  <si>
    <t xml:space="preserve">Conversas</t>
  </si>
  <si>
    <t xml:space="preserve">Diário das reuniões e conversas com as fontes: aprendizados, próximos passos e prazos.</t>
  </si>
  <si>
    <t xml:space="preserve">Geral - Problemas</t>
  </si>
  <si>
    <t xml:space="preserve">Problemas (reais ou potenciais) de: Geral (CEMP inteiro)  ·  IDs GER-P###.</t>
  </si>
  <si>
    <t xml:space="preserve">Geral - Soluções</t>
  </si>
  <si>
    <t xml:space="preserve">Soluções encontradas para: Geral (CEMP inteiro)  ·  IDs GER-S###, com fonte e passo a passo.</t>
  </si>
  <si>
    <t xml:space="preserve">Mentoring - Problemas</t>
  </si>
  <si>
    <t xml:space="preserve">Problemas (reais ou potenciais) de: Mentoring  ·  IDs MEN-P###.</t>
  </si>
  <si>
    <t xml:space="preserve">Mentoring - Soluções</t>
  </si>
  <si>
    <t xml:space="preserve">Soluções encontradas para: Mentoring  ·  IDs MEN-S###, com fonte e passo a passo.</t>
  </si>
  <si>
    <t xml:space="preserve">Feira - Problemas</t>
  </si>
  <si>
    <t xml:space="preserve">Problemas (reais ou potenciais) de: Feira de Empreendedorismo  ·  IDs FEI-P###.</t>
  </si>
  <si>
    <t xml:space="preserve">Feira - Soluções</t>
  </si>
  <si>
    <t xml:space="preserve">Soluções encontradas para: Feira de Empreendedorismo  ·  IDs FEI-S###, com fonte e passo a passo.</t>
  </si>
  <si>
    <t xml:space="preserve">Inova - Problemas</t>
  </si>
  <si>
    <t xml:space="preserve">Problemas (reais ou potenciais) de: Inova (hackathons)  ·  IDs INO-P###.</t>
  </si>
  <si>
    <t xml:space="preserve">Inova - Soluções</t>
  </si>
  <si>
    <t xml:space="preserve">Soluções encontradas para: Inova (hackathons)  ·  IDs INO-S###, com fonte e passo a passo.</t>
  </si>
  <si>
    <t xml:space="preserve">Sensibilizando - Problemas</t>
  </si>
  <si>
    <t xml:space="preserve">Problemas (reais ou potenciais) de: Sensibilizando (escolas)  ·  IDs SEN-P###.</t>
  </si>
  <si>
    <t xml:space="preserve">Sensibilizando - Soluções</t>
  </si>
  <si>
    <t xml:space="preserve">Soluções encontradas para: Sensibilizando (escolas)  ·  IDs SEN-S###, com fonte e passo a passo.</t>
  </si>
  <si>
    <t xml:space="preserve">Listas</t>
  </si>
  <si>
    <t xml:space="preserve">Opções dos menus suspensos — edite aqui para personalizar categorias, diretorias, status etc.</t>
  </si>
  <si>
    <t xml:space="preserve">REGRAS DE CÁLCULO  (automáticas — não digite nessas colunas)</t>
  </si>
  <si>
    <t xml:space="preserve">Score do problema</t>
  </si>
  <si>
    <t xml:space="preserve">Impacto (1–5) × Probabilidade (1–5) = de 1 a 25.</t>
  </si>
  <si>
    <t xml:space="preserve">Crítica</t>
  </si>
  <si>
    <t xml:space="preserve">Score de 15 a 25 → problema que precisa de solução primeiro.</t>
  </si>
  <si>
    <t xml:space="preserve">Alta</t>
  </si>
  <si>
    <t xml:space="preserve">Score de 9 a 14.</t>
  </si>
  <si>
    <t xml:space="preserve">Média</t>
  </si>
  <si>
    <t xml:space="preserve">Score de 4 a 8.</t>
  </si>
  <si>
    <t xml:space="preserve">Baixa</t>
  </si>
  <si>
    <t xml:space="preserve">Score de 1 a 3.</t>
  </si>
  <si>
    <t xml:space="preserve">Análise da solução</t>
  </si>
  <si>
    <t xml:space="preserve">Cruza Impacto esperado × Esforço:  ⚡ Quick win (alto impacto, baixo esforço)  ·  🚀 Alto retorno  ·  🎯 Estratégica (alto/alto)  ·  ⚖ Equilibrada  ·  ⏳ Baixo retorno.</t>
  </si>
  <si>
    <t xml:space="preserve">Follow-up</t>
  </si>
  <si>
    <t xml:space="preserve">⚠ Atrasado quando a data já passou; 'Esta semana' quando faltam 7 dias ou menos.</t>
  </si>
  <si>
    <t xml:space="preserve">LEGENDA E DICAS</t>
  </si>
  <si>
    <t xml:space="preserve">Célula branca / creme</t>
  </si>
  <si>
    <t xml:space="preserve">Você preenche.</t>
  </si>
  <si>
    <t xml:space="preserve">Fundo azul-acinzentado</t>
  </si>
  <si>
    <t xml:space="preserve">Automático — não digite; a fórmula faz o trabalho.</t>
  </si>
  <si>
    <t xml:space="preserve">Linha amarela [EXEMPLO]</t>
  </si>
  <si>
    <t xml:space="preserve">Modelo de preenchimento na 1ª linha de cada aba — apague ou sobrescreva ao começar.</t>
  </si>
  <si>
    <t xml:space="preserve">ID cinza (ex.: GER-P001)</t>
  </si>
  <si>
    <t xml:space="preserve">Fixo — não altere. Ele liga problema ↔ solução ↔ fonte, mesmo se você ordenar ou filtrar.</t>
  </si>
  <si>
    <t xml:space="preserve">•  Use os filtros do cabeçalho (setinhas) para achar problemas críticos, soluções 'Quick win' ou fontes com follow-up atrasado.</t>
  </si>
  <si>
    <t xml:space="preserve">•  Cada aba vem com 100 linhas prontas (Fontes: 150 · Conversas: 200). Para mais, copie a última linha e cole abaixo; o Painel lê até a linha 500.</t>
  </si>
  <si>
    <t xml:space="preserve">•  A coluna 'Rótulo p/ vínculo' (final das abas de Problemas e Fontes) fica agrupada/oculta e alimenta as listas — clique no [+] para ver, mas não apague.</t>
  </si>
  <si>
    <t xml:space="preserve">•  Passe o mouse (ou toque) nos cabeçalhos com o triângulo vermelho para ver a explicação de cada campo.</t>
  </si>
  <si>
    <t xml:space="preserve">⬢  CEMP  ·  Painel de Soluções</t>
  </si>
  <si>
    <t xml:space="preserve">Resumo automático de todo o banco de dados — atualiza sozinho conforme vocês preenchem as abas.</t>
  </si>
  <si>
    <t xml:space="preserve">← Início</t>
  </si>
  <si>
    <t xml:space="preserve">PROBLEMAS CADASTRADOS</t>
  </si>
  <si>
    <t xml:space="preserve">CRÍTICOS SEM SOLUÇÃO</t>
  </si>
  <si>
    <t xml:space="preserve">SOLUÇÕES CADASTRADAS</t>
  </si>
  <si>
    <t xml:space="preserve">SOLUÇÕES IMPLANTADAS</t>
  </si>
  <si>
    <t xml:space="preserve">ORGANIZAÇÕES MAPEADAS</t>
  </si>
  <si>
    <t xml:space="preserve">FOLLOW-UPS ATRASADOS</t>
  </si>
  <si>
    <t xml:space="preserve">VISÃO POR ÁREA</t>
  </si>
  <si>
    <t xml:space="preserve">Área</t>
  </si>
  <si>
    <t xml:space="preserve">Problemas</t>
  </si>
  <si>
    <t xml:space="preserve">Ocorrendo hoje</t>
  </si>
  <si>
    <t xml:space="preserve">Críticos + Altos</t>
  </si>
  <si>
    <t xml:space="preserve">Resolvidos</t>
  </si>
  <si>
    <t xml:space="preserve">Sem solução ainda</t>
  </si>
  <si>
    <t xml:space="preserve">Cobertura (com solução)</t>
  </si>
  <si>
    <t xml:space="preserve">Soluções</t>
  </si>
  <si>
    <t xml:space="preserve">Quick wins</t>
  </si>
  <si>
    <t xml:space="preserve">Em implantação</t>
  </si>
  <si>
    <t xml:space="preserve">Implantadas</t>
  </si>
  <si>
    <t xml:space="preserve">Geral</t>
  </si>
  <si>
    <t xml:space="preserve">Mentoring</t>
  </si>
  <si>
    <t xml:space="preserve">Feira</t>
  </si>
  <si>
    <t xml:space="preserve">Inova</t>
  </si>
  <si>
    <t xml:space="preserve">Sensibilizando</t>
  </si>
  <si>
    <t xml:space="preserve">TOTAL</t>
  </si>
  <si>
    <t xml:space="preserve">PRIORIDADE DOS PROBLEMAS POR ÁREA</t>
  </si>
  <si>
    <t xml:space="preserve">SOLUÇÕES POR STATUS DE IMPLANTAÇÃO</t>
  </si>
  <si>
    <t xml:space="preserve">Status</t>
  </si>
  <si>
    <t xml:space="preserve">Qtd.</t>
  </si>
  <si>
    <t xml:space="preserve">Ideia</t>
  </si>
  <si>
    <t xml:space="preserve">Em análise</t>
  </si>
  <si>
    <t xml:space="preserve">Aprovada</t>
  </si>
  <si>
    <t xml:space="preserve">Implantada</t>
  </si>
  <si>
    <t xml:space="preserve">Descartada</t>
  </si>
  <si>
    <t xml:space="preserve">ORGANIZAÇÕES POR NÍVEL DE RELAÇÃO</t>
  </si>
  <si>
    <t xml:space="preserve">Nível</t>
  </si>
  <si>
    <t xml:space="preserve">Mapeada</t>
  </si>
  <si>
    <t xml:space="preserve">Contato iniciado</t>
  </si>
  <si>
    <t xml:space="preserve">Conversa realizada</t>
  </si>
  <si>
    <t xml:space="preserve">Parceria em negociação</t>
  </si>
  <si>
    <t xml:space="preserve">Parceria ativa</t>
  </si>
  <si>
    <t xml:space="preserve">Sem retorno</t>
  </si>
  <si>
    <t xml:space="preserve">Como ler: 'Cobertura' = % dos problemas que já têm pelo menos uma solução vinculada. 'Críticos sem solução' são os primeiros da fila. Os números incluem as linhas de exemplo até que sejam apagadas.</t>
  </si>
  <si>
    <t xml:space="preserve">⬢  CEMP  ·  Fontes e Parcerias</t>
  </si>
  <si>
    <t xml:space="preserve">QUEM É</t>
  </si>
  <si>
    <t xml:space="preserve">CONTATO E RELAÇÃO COM O CEMP</t>
  </si>
  <si>
    <t xml:space="preserve">RELACIONAMENTO</t>
  </si>
  <si>
    <t xml:space="preserve">RESULTADO</t>
  </si>
  <si>
    <t xml:space="preserve">ID</t>
  </si>
  <si>
    <t xml:space="preserve">Organização / projeto</t>
  </si>
  <si>
    <t xml:space="preserve">Tipo</t>
  </si>
  <si>
    <t xml:space="preserve">Instituição / universidade</t>
  </si>
  <si>
    <t xml:space="preserve">Cidade / UF</t>
  </si>
  <si>
    <t xml:space="preserve">Área de atuação / especialidade</t>
  </si>
  <si>
    <t xml:space="preserve">Projeto do CEMP relacionado</t>
  </si>
  <si>
    <t xml:space="preserve">Pessoa de contato</t>
  </si>
  <si>
    <t xml:space="preserve">Cargo / função</t>
  </si>
  <si>
    <t xml:space="preserve">E-mail / WhatsApp</t>
  </si>
  <si>
    <t xml:space="preserve">Instagram / site</t>
  </si>
  <si>
    <t xml:space="preserve">Nível de relação</t>
  </si>
  <si>
    <t xml:space="preserve">Nº de conversas (auto)</t>
  </si>
  <si>
    <t xml:space="preserve">Último contato (auto)</t>
  </si>
  <si>
    <t xml:space="preserve">Próximo contato (data)</t>
  </si>
  <si>
    <t xml:space="preserve">Follow-up (auto)</t>
  </si>
  <si>
    <t xml:space="preserve">Soluções trazidas (auto)</t>
  </si>
  <si>
    <t xml:space="preserve">O que aprendemos com eles</t>
  </si>
  <si>
    <t xml:space="preserve">Rótulo p/ vínculo (auto)</t>
  </si>
  <si>
    <t xml:space="preserve">FNT-001</t>
  </si>
  <si>
    <t xml:space="preserve">[EXEMPLO] Empresa Júnior de Administração – Universidade X</t>
  </si>
  <si>
    <t xml:space="preserve">Empresa Júnior</t>
  </si>
  <si>
    <t xml:space="preserve">Universidade X</t>
  </si>
  <si>
    <t xml:space="preserve">Cidade/UF</t>
  </si>
  <si>
    <t xml:space="preserve">Gestão de pessoas e projetos</t>
  </si>
  <si>
    <t xml:space="preserve">Geral (CEMP inteiro)</t>
  </si>
  <si>
    <t xml:space="preserve">Nome do contato</t>
  </si>
  <si>
    <t xml:space="preserve">Diretor(a) de Pessoas</t>
  </si>
  <si>
    <t xml:space="preserve">email@exemplo.com · (85) 90000-0000</t>
  </si>
  <si>
    <t xml:space="preserve">@perfil_da_ej</t>
  </si>
  <si>
    <t xml:space="preserve">Resumo do que aprendemos com eles (linha de exemplo).</t>
  </si>
  <si>
    <t xml:space="preserve">FNT-002</t>
  </si>
  <si>
    <t xml:space="preserve">FNT-003</t>
  </si>
  <si>
    <t xml:space="preserve">FNT-004</t>
  </si>
  <si>
    <t xml:space="preserve">FNT-005</t>
  </si>
  <si>
    <t xml:space="preserve">FNT-006</t>
  </si>
  <si>
    <t xml:space="preserve">FNT-007</t>
  </si>
  <si>
    <t xml:space="preserve">FNT-008</t>
  </si>
  <si>
    <t xml:space="preserve">FNT-009</t>
  </si>
  <si>
    <t xml:space="preserve">FNT-010</t>
  </si>
  <si>
    <t xml:space="preserve">FNT-011</t>
  </si>
  <si>
    <t xml:space="preserve">FNT-012</t>
  </si>
  <si>
    <t xml:space="preserve">FNT-013</t>
  </si>
  <si>
    <t xml:space="preserve">FNT-014</t>
  </si>
  <si>
    <t xml:space="preserve">FNT-015</t>
  </si>
  <si>
    <t xml:space="preserve">FNT-016</t>
  </si>
  <si>
    <t xml:space="preserve">FNT-017</t>
  </si>
  <si>
    <t xml:space="preserve">FNT-018</t>
  </si>
  <si>
    <t xml:space="preserve">FNT-019</t>
  </si>
  <si>
    <t xml:space="preserve">FNT-020</t>
  </si>
  <si>
    <t xml:space="preserve">FNT-021</t>
  </si>
  <si>
    <t xml:space="preserve">FNT-022</t>
  </si>
  <si>
    <t xml:space="preserve">FNT-023</t>
  </si>
  <si>
    <t xml:space="preserve">FNT-024</t>
  </si>
  <si>
    <t xml:space="preserve">FNT-025</t>
  </si>
  <si>
    <t xml:space="preserve">FNT-026</t>
  </si>
  <si>
    <t xml:space="preserve">FNT-027</t>
  </si>
  <si>
    <t xml:space="preserve">FNT-028</t>
  </si>
  <si>
    <t xml:space="preserve">FNT-029</t>
  </si>
  <si>
    <t xml:space="preserve">FNT-030</t>
  </si>
  <si>
    <t xml:space="preserve">FNT-031</t>
  </si>
  <si>
    <t xml:space="preserve">FNT-032</t>
  </si>
  <si>
    <t xml:space="preserve">FNT-033</t>
  </si>
  <si>
    <t xml:space="preserve">FNT-034</t>
  </si>
  <si>
    <t xml:space="preserve">FNT-035</t>
  </si>
  <si>
    <t xml:space="preserve">FNT-036</t>
  </si>
  <si>
    <t xml:space="preserve">FNT-037</t>
  </si>
  <si>
    <t xml:space="preserve">FNT-038</t>
  </si>
  <si>
    <t xml:space="preserve">FNT-039</t>
  </si>
  <si>
    <t xml:space="preserve">FNT-040</t>
  </si>
  <si>
    <t xml:space="preserve">FNT-041</t>
  </si>
  <si>
    <t xml:space="preserve">FNT-042</t>
  </si>
  <si>
    <t xml:space="preserve">FNT-043</t>
  </si>
  <si>
    <t xml:space="preserve">FNT-044</t>
  </si>
  <si>
    <t xml:space="preserve">FNT-045</t>
  </si>
  <si>
    <t xml:space="preserve">FNT-046</t>
  </si>
  <si>
    <t xml:space="preserve">FNT-047</t>
  </si>
  <si>
    <t xml:space="preserve">FNT-048</t>
  </si>
  <si>
    <t xml:space="preserve">FNT-049</t>
  </si>
  <si>
    <t xml:space="preserve">FNT-050</t>
  </si>
  <si>
    <t xml:space="preserve">FNT-051</t>
  </si>
  <si>
    <t xml:space="preserve">FNT-052</t>
  </si>
  <si>
    <t xml:space="preserve">FNT-053</t>
  </si>
  <si>
    <t xml:space="preserve">FNT-054</t>
  </si>
  <si>
    <t xml:space="preserve">FNT-055</t>
  </si>
  <si>
    <t xml:space="preserve">FNT-056</t>
  </si>
  <si>
    <t xml:space="preserve">FNT-057</t>
  </si>
  <si>
    <t xml:space="preserve">FNT-058</t>
  </si>
  <si>
    <t xml:space="preserve">FNT-059</t>
  </si>
  <si>
    <t xml:space="preserve">FNT-060</t>
  </si>
  <si>
    <t xml:space="preserve">FNT-061</t>
  </si>
  <si>
    <t xml:space="preserve">FNT-062</t>
  </si>
  <si>
    <t xml:space="preserve">FNT-063</t>
  </si>
  <si>
    <t xml:space="preserve">FNT-064</t>
  </si>
  <si>
    <t xml:space="preserve">FNT-065</t>
  </si>
  <si>
    <t xml:space="preserve">FNT-066</t>
  </si>
  <si>
    <t xml:space="preserve">FNT-067</t>
  </si>
  <si>
    <t xml:space="preserve">FNT-068</t>
  </si>
  <si>
    <t xml:space="preserve">FNT-069</t>
  </si>
  <si>
    <t xml:space="preserve">FNT-070</t>
  </si>
  <si>
    <t xml:space="preserve">FNT-071</t>
  </si>
  <si>
    <t xml:space="preserve">FNT-072</t>
  </si>
  <si>
    <t xml:space="preserve">FNT-073</t>
  </si>
  <si>
    <t xml:space="preserve">FNT-074</t>
  </si>
  <si>
    <t xml:space="preserve">FNT-075</t>
  </si>
  <si>
    <t xml:space="preserve">FNT-076</t>
  </si>
  <si>
    <t xml:space="preserve">FNT-077</t>
  </si>
  <si>
    <t xml:space="preserve">FNT-078</t>
  </si>
  <si>
    <t xml:space="preserve">FNT-079</t>
  </si>
  <si>
    <t xml:space="preserve">FNT-080</t>
  </si>
  <si>
    <t xml:space="preserve">FNT-081</t>
  </si>
  <si>
    <t xml:space="preserve">FNT-082</t>
  </si>
  <si>
    <t xml:space="preserve">FNT-083</t>
  </si>
  <si>
    <t xml:space="preserve">FNT-084</t>
  </si>
  <si>
    <t xml:space="preserve">FNT-085</t>
  </si>
  <si>
    <t xml:space="preserve">FNT-086</t>
  </si>
  <si>
    <t xml:space="preserve">FNT-087</t>
  </si>
  <si>
    <t xml:space="preserve">FNT-088</t>
  </si>
  <si>
    <t xml:space="preserve">FNT-089</t>
  </si>
  <si>
    <t xml:space="preserve">FNT-090</t>
  </si>
  <si>
    <t xml:space="preserve">FNT-091</t>
  </si>
  <si>
    <t xml:space="preserve">FNT-092</t>
  </si>
  <si>
    <t xml:space="preserve">FNT-093</t>
  </si>
  <si>
    <t xml:space="preserve">FNT-094</t>
  </si>
  <si>
    <t xml:space="preserve">FNT-095</t>
  </si>
  <si>
    <t xml:space="preserve">FNT-096</t>
  </si>
  <si>
    <t xml:space="preserve">FNT-097</t>
  </si>
  <si>
    <t xml:space="preserve">FNT-098</t>
  </si>
  <si>
    <t xml:space="preserve">FNT-099</t>
  </si>
  <si>
    <t xml:space="preserve">FNT-100</t>
  </si>
  <si>
    <t xml:space="preserve">FNT-101</t>
  </si>
  <si>
    <t xml:space="preserve">FNT-102</t>
  </si>
  <si>
    <t xml:space="preserve">FNT-103</t>
  </si>
  <si>
    <t xml:space="preserve">FNT-104</t>
  </si>
  <si>
    <t xml:space="preserve">FNT-105</t>
  </si>
  <si>
    <t xml:space="preserve">FNT-106</t>
  </si>
  <si>
    <t xml:space="preserve">FNT-107</t>
  </si>
  <si>
    <t xml:space="preserve">FNT-108</t>
  </si>
  <si>
    <t xml:space="preserve">FNT-109</t>
  </si>
  <si>
    <t xml:space="preserve">FNT-110</t>
  </si>
  <si>
    <t xml:space="preserve">FNT-111</t>
  </si>
  <si>
    <t xml:space="preserve">FNT-112</t>
  </si>
  <si>
    <t xml:space="preserve">FNT-113</t>
  </si>
  <si>
    <t xml:space="preserve">FNT-114</t>
  </si>
  <si>
    <t xml:space="preserve">FNT-115</t>
  </si>
  <si>
    <t xml:space="preserve">FNT-116</t>
  </si>
  <si>
    <t xml:space="preserve">FNT-117</t>
  </si>
  <si>
    <t xml:space="preserve">FNT-118</t>
  </si>
  <si>
    <t xml:space="preserve">FNT-119</t>
  </si>
  <si>
    <t xml:space="preserve">FNT-120</t>
  </si>
  <si>
    <t xml:space="preserve">FNT-121</t>
  </si>
  <si>
    <t xml:space="preserve">FNT-122</t>
  </si>
  <si>
    <t xml:space="preserve">FNT-123</t>
  </si>
  <si>
    <t xml:space="preserve">FNT-124</t>
  </si>
  <si>
    <t xml:space="preserve">FNT-125</t>
  </si>
  <si>
    <t xml:space="preserve">FNT-126</t>
  </si>
  <si>
    <t xml:space="preserve">FNT-127</t>
  </si>
  <si>
    <t xml:space="preserve">FNT-128</t>
  </si>
  <si>
    <t xml:space="preserve">FNT-129</t>
  </si>
  <si>
    <t xml:space="preserve">FNT-130</t>
  </si>
  <si>
    <t xml:space="preserve">FNT-131</t>
  </si>
  <si>
    <t xml:space="preserve">FNT-132</t>
  </si>
  <si>
    <t xml:space="preserve">FNT-133</t>
  </si>
  <si>
    <t xml:space="preserve">FNT-134</t>
  </si>
  <si>
    <t xml:space="preserve">FNT-135</t>
  </si>
  <si>
    <t xml:space="preserve">FNT-136</t>
  </si>
  <si>
    <t xml:space="preserve">FNT-137</t>
  </si>
  <si>
    <t xml:space="preserve">FNT-138</t>
  </si>
  <si>
    <t xml:space="preserve">FNT-139</t>
  </si>
  <si>
    <t xml:space="preserve">FNT-140</t>
  </si>
  <si>
    <t xml:space="preserve">FNT-141</t>
  </si>
  <si>
    <t xml:space="preserve">FNT-142</t>
  </si>
  <si>
    <t xml:space="preserve">FNT-143</t>
  </si>
  <si>
    <t xml:space="preserve">FNT-144</t>
  </si>
  <si>
    <t xml:space="preserve">FNT-145</t>
  </si>
  <si>
    <t xml:space="preserve">FNT-146</t>
  </si>
  <si>
    <t xml:space="preserve">FNT-147</t>
  </si>
  <si>
    <t xml:space="preserve">FNT-148</t>
  </si>
  <si>
    <t xml:space="preserve">FNT-149</t>
  </si>
  <si>
    <t xml:space="preserve">FNT-150</t>
  </si>
  <si>
    <t xml:space="preserve">⬢  CEMP  ·  Conversas com as fontes</t>
  </si>
  <si>
    <t xml:space="preserve">A CONVERSA</t>
  </si>
  <si>
    <t xml:space="preserve">O QUE FICOU</t>
  </si>
  <si>
    <t xml:space="preserve">PRÓXIMOS PASSOS</t>
  </si>
  <si>
    <t xml:space="preserve">Organização</t>
  </si>
  <si>
    <t xml:space="preserve">Data</t>
  </si>
  <si>
    <t xml:space="preserve">Formato</t>
  </si>
  <si>
    <t xml:space="preserve">Quem do CEMP participou</t>
  </si>
  <si>
    <t xml:space="preserve">Assuntos discutidos</t>
  </si>
  <si>
    <t xml:space="preserve">Principais aprendizados</t>
  </si>
  <si>
    <t xml:space="preserve">Próximos passos</t>
  </si>
  <si>
    <t xml:space="preserve">Prazo do próximo passo</t>
  </si>
  <si>
    <t xml:space="preserve">Situação do passo</t>
  </si>
  <si>
    <t xml:space="preserve">Alerta (auto)</t>
  </si>
  <si>
    <t xml:space="preserve">CNV-001</t>
  </si>
  <si>
    <t xml:space="preserve">FNT-001 · [EXEMPLO] Empresa Júnior de Administração – Universidade X</t>
  </si>
  <si>
    <t xml:space="preserve">Reunião online</t>
  </si>
  <si>
    <t xml:space="preserve">Diretor(a) de P&amp;D + 1 membro</t>
  </si>
  <si>
    <t xml:space="preserve">Como funciona o onboarding e a retenção de membros na EJ.</t>
  </si>
  <si>
    <t xml:space="preserve">Registre aqui os pontos-chave e os números compartilhados (linha de exemplo).</t>
  </si>
  <si>
    <t xml:space="preserve">Enviar agradecimento e pedir o modelo de roteiro de 90 dias.</t>
  </si>
  <si>
    <t xml:space="preserve">Em andamento</t>
  </si>
  <si>
    <t xml:space="preserve">CNV-002</t>
  </si>
  <si>
    <t xml:space="preserve">CNV-003</t>
  </si>
  <si>
    <t xml:space="preserve">CNV-004</t>
  </si>
  <si>
    <t xml:space="preserve">CNV-005</t>
  </si>
  <si>
    <t xml:space="preserve">CNV-006</t>
  </si>
  <si>
    <t xml:space="preserve">CNV-007</t>
  </si>
  <si>
    <t xml:space="preserve">CNV-008</t>
  </si>
  <si>
    <t xml:space="preserve">CNV-009</t>
  </si>
  <si>
    <t xml:space="preserve">CNV-010</t>
  </si>
  <si>
    <t xml:space="preserve">CNV-011</t>
  </si>
  <si>
    <t xml:space="preserve">CNV-012</t>
  </si>
  <si>
    <t xml:space="preserve">CNV-013</t>
  </si>
  <si>
    <t xml:space="preserve">CNV-014</t>
  </si>
  <si>
    <t xml:space="preserve">CNV-015</t>
  </si>
  <si>
    <t xml:space="preserve">CNV-016</t>
  </si>
  <si>
    <t xml:space="preserve">CNV-017</t>
  </si>
  <si>
    <t xml:space="preserve">CNV-018</t>
  </si>
  <si>
    <t xml:space="preserve">CNV-019</t>
  </si>
  <si>
    <t xml:space="preserve">CNV-020</t>
  </si>
  <si>
    <t xml:space="preserve">CNV-021</t>
  </si>
  <si>
    <t xml:space="preserve">CNV-022</t>
  </si>
  <si>
    <t xml:space="preserve">CNV-023</t>
  </si>
  <si>
    <t xml:space="preserve">CNV-024</t>
  </si>
  <si>
    <t xml:space="preserve">CNV-025</t>
  </si>
  <si>
    <t xml:space="preserve">CNV-026</t>
  </si>
  <si>
    <t xml:space="preserve">CNV-027</t>
  </si>
  <si>
    <t xml:space="preserve">CNV-028</t>
  </si>
  <si>
    <t xml:space="preserve">CNV-029</t>
  </si>
  <si>
    <t xml:space="preserve">CNV-030</t>
  </si>
  <si>
    <t xml:space="preserve">CNV-031</t>
  </si>
  <si>
    <t xml:space="preserve">CNV-032</t>
  </si>
  <si>
    <t xml:space="preserve">CNV-033</t>
  </si>
  <si>
    <t xml:space="preserve">CNV-034</t>
  </si>
  <si>
    <t xml:space="preserve">CNV-035</t>
  </si>
  <si>
    <t xml:space="preserve">CNV-036</t>
  </si>
  <si>
    <t xml:space="preserve">CNV-037</t>
  </si>
  <si>
    <t xml:space="preserve">CNV-038</t>
  </si>
  <si>
    <t xml:space="preserve">CNV-039</t>
  </si>
  <si>
    <t xml:space="preserve">CNV-040</t>
  </si>
  <si>
    <t xml:space="preserve">CNV-041</t>
  </si>
  <si>
    <t xml:space="preserve">CNV-042</t>
  </si>
  <si>
    <t xml:space="preserve">CNV-043</t>
  </si>
  <si>
    <t xml:space="preserve">CNV-044</t>
  </si>
  <si>
    <t xml:space="preserve">CNV-045</t>
  </si>
  <si>
    <t xml:space="preserve">CNV-046</t>
  </si>
  <si>
    <t xml:space="preserve">CNV-047</t>
  </si>
  <si>
    <t xml:space="preserve">CNV-048</t>
  </si>
  <si>
    <t xml:space="preserve">CNV-049</t>
  </si>
  <si>
    <t xml:space="preserve">CNV-050</t>
  </si>
  <si>
    <t xml:space="preserve">CNV-051</t>
  </si>
  <si>
    <t xml:space="preserve">CNV-052</t>
  </si>
  <si>
    <t xml:space="preserve">CNV-053</t>
  </si>
  <si>
    <t xml:space="preserve">CNV-054</t>
  </si>
  <si>
    <t xml:space="preserve">CNV-055</t>
  </si>
  <si>
    <t xml:space="preserve">CNV-056</t>
  </si>
  <si>
    <t xml:space="preserve">CNV-057</t>
  </si>
  <si>
    <t xml:space="preserve">CNV-058</t>
  </si>
  <si>
    <t xml:space="preserve">CNV-059</t>
  </si>
  <si>
    <t xml:space="preserve">CNV-060</t>
  </si>
  <si>
    <t xml:space="preserve">CNV-061</t>
  </si>
  <si>
    <t xml:space="preserve">CNV-062</t>
  </si>
  <si>
    <t xml:space="preserve">CNV-063</t>
  </si>
  <si>
    <t xml:space="preserve">CNV-064</t>
  </si>
  <si>
    <t xml:space="preserve">CNV-065</t>
  </si>
  <si>
    <t xml:space="preserve">CNV-066</t>
  </si>
  <si>
    <t xml:space="preserve">CNV-067</t>
  </si>
  <si>
    <t xml:space="preserve">CNV-068</t>
  </si>
  <si>
    <t xml:space="preserve">CNV-069</t>
  </si>
  <si>
    <t xml:space="preserve">CNV-070</t>
  </si>
  <si>
    <t xml:space="preserve">CNV-071</t>
  </si>
  <si>
    <t xml:space="preserve">CNV-072</t>
  </si>
  <si>
    <t xml:space="preserve">CNV-073</t>
  </si>
  <si>
    <t xml:space="preserve">CNV-074</t>
  </si>
  <si>
    <t xml:space="preserve">CNV-075</t>
  </si>
  <si>
    <t xml:space="preserve">CNV-076</t>
  </si>
  <si>
    <t xml:space="preserve">CNV-077</t>
  </si>
  <si>
    <t xml:space="preserve">CNV-078</t>
  </si>
  <si>
    <t xml:space="preserve">CNV-079</t>
  </si>
  <si>
    <t xml:space="preserve">CNV-080</t>
  </si>
  <si>
    <t xml:space="preserve">CNV-081</t>
  </si>
  <si>
    <t xml:space="preserve">CNV-082</t>
  </si>
  <si>
    <t xml:space="preserve">CNV-083</t>
  </si>
  <si>
    <t xml:space="preserve">CNV-084</t>
  </si>
  <si>
    <t xml:space="preserve">CNV-085</t>
  </si>
  <si>
    <t xml:space="preserve">CNV-086</t>
  </si>
  <si>
    <t xml:space="preserve">CNV-087</t>
  </si>
  <si>
    <t xml:space="preserve">CNV-088</t>
  </si>
  <si>
    <t xml:space="preserve">CNV-089</t>
  </si>
  <si>
    <t xml:space="preserve">CNV-090</t>
  </si>
  <si>
    <t xml:space="preserve">CNV-091</t>
  </si>
  <si>
    <t xml:space="preserve">CNV-092</t>
  </si>
  <si>
    <t xml:space="preserve">CNV-093</t>
  </si>
  <si>
    <t xml:space="preserve">CNV-094</t>
  </si>
  <si>
    <t xml:space="preserve">CNV-095</t>
  </si>
  <si>
    <t xml:space="preserve">CNV-096</t>
  </si>
  <si>
    <t xml:space="preserve">CNV-097</t>
  </si>
  <si>
    <t xml:space="preserve">CNV-098</t>
  </si>
  <si>
    <t xml:space="preserve">CNV-099</t>
  </si>
  <si>
    <t xml:space="preserve">CNV-100</t>
  </si>
  <si>
    <t xml:space="preserve">CNV-101</t>
  </si>
  <si>
    <t xml:space="preserve">CNV-102</t>
  </si>
  <si>
    <t xml:space="preserve">CNV-103</t>
  </si>
  <si>
    <t xml:space="preserve">CNV-104</t>
  </si>
  <si>
    <t xml:space="preserve">CNV-105</t>
  </si>
  <si>
    <t xml:space="preserve">CNV-106</t>
  </si>
  <si>
    <t xml:space="preserve">CNV-107</t>
  </si>
  <si>
    <t xml:space="preserve">CNV-108</t>
  </si>
  <si>
    <t xml:space="preserve">CNV-109</t>
  </si>
  <si>
    <t xml:space="preserve">CNV-110</t>
  </si>
  <si>
    <t xml:space="preserve">CNV-111</t>
  </si>
  <si>
    <t xml:space="preserve">CNV-112</t>
  </si>
  <si>
    <t xml:space="preserve">CNV-113</t>
  </si>
  <si>
    <t xml:space="preserve">CNV-114</t>
  </si>
  <si>
    <t xml:space="preserve">CNV-115</t>
  </si>
  <si>
    <t xml:space="preserve">CNV-116</t>
  </si>
  <si>
    <t xml:space="preserve">CNV-117</t>
  </si>
  <si>
    <t xml:space="preserve">CNV-118</t>
  </si>
  <si>
    <t xml:space="preserve">CNV-119</t>
  </si>
  <si>
    <t xml:space="preserve">CNV-120</t>
  </si>
  <si>
    <t xml:space="preserve">CNV-121</t>
  </si>
  <si>
    <t xml:space="preserve">CNV-122</t>
  </si>
  <si>
    <t xml:space="preserve">CNV-123</t>
  </si>
  <si>
    <t xml:space="preserve">CNV-124</t>
  </si>
  <si>
    <t xml:space="preserve">CNV-125</t>
  </si>
  <si>
    <t xml:space="preserve">CNV-126</t>
  </si>
  <si>
    <t xml:space="preserve">CNV-127</t>
  </si>
  <si>
    <t xml:space="preserve">CNV-128</t>
  </si>
  <si>
    <t xml:space="preserve">CNV-129</t>
  </si>
  <si>
    <t xml:space="preserve">CNV-130</t>
  </si>
  <si>
    <t xml:space="preserve">CNV-131</t>
  </si>
  <si>
    <t xml:space="preserve">CNV-132</t>
  </si>
  <si>
    <t xml:space="preserve">CNV-133</t>
  </si>
  <si>
    <t xml:space="preserve">CNV-134</t>
  </si>
  <si>
    <t xml:space="preserve">CNV-135</t>
  </si>
  <si>
    <t xml:space="preserve">CNV-136</t>
  </si>
  <si>
    <t xml:space="preserve">CNV-137</t>
  </si>
  <si>
    <t xml:space="preserve">CNV-138</t>
  </si>
  <si>
    <t xml:space="preserve">CNV-139</t>
  </si>
  <si>
    <t xml:space="preserve">CNV-140</t>
  </si>
  <si>
    <t xml:space="preserve">CNV-141</t>
  </si>
  <si>
    <t xml:space="preserve">CNV-142</t>
  </si>
  <si>
    <t xml:space="preserve">CNV-143</t>
  </si>
  <si>
    <t xml:space="preserve">CNV-144</t>
  </si>
  <si>
    <t xml:space="preserve">CNV-145</t>
  </si>
  <si>
    <t xml:space="preserve">CNV-146</t>
  </si>
  <si>
    <t xml:space="preserve">CNV-147</t>
  </si>
  <si>
    <t xml:space="preserve">CNV-148</t>
  </si>
  <si>
    <t xml:space="preserve">CNV-149</t>
  </si>
  <si>
    <t xml:space="preserve">CNV-150</t>
  </si>
  <si>
    <t xml:space="preserve">CNV-151</t>
  </si>
  <si>
    <t xml:space="preserve">CNV-152</t>
  </si>
  <si>
    <t xml:space="preserve">CNV-153</t>
  </si>
  <si>
    <t xml:space="preserve">CNV-154</t>
  </si>
  <si>
    <t xml:space="preserve">CNV-155</t>
  </si>
  <si>
    <t xml:space="preserve">CNV-156</t>
  </si>
  <si>
    <t xml:space="preserve">CNV-157</t>
  </si>
  <si>
    <t xml:space="preserve">CNV-158</t>
  </si>
  <si>
    <t xml:space="preserve">CNV-159</t>
  </si>
  <si>
    <t xml:space="preserve">CNV-160</t>
  </si>
  <si>
    <t xml:space="preserve">CNV-161</t>
  </si>
  <si>
    <t xml:space="preserve">CNV-162</t>
  </si>
  <si>
    <t xml:space="preserve">CNV-163</t>
  </si>
  <si>
    <t xml:space="preserve">CNV-164</t>
  </si>
  <si>
    <t xml:space="preserve">CNV-165</t>
  </si>
  <si>
    <t xml:space="preserve">CNV-166</t>
  </si>
  <si>
    <t xml:space="preserve">CNV-167</t>
  </si>
  <si>
    <t xml:space="preserve">CNV-168</t>
  </si>
  <si>
    <t xml:space="preserve">CNV-169</t>
  </si>
  <si>
    <t xml:space="preserve">CNV-170</t>
  </si>
  <si>
    <t xml:space="preserve">CNV-171</t>
  </si>
  <si>
    <t xml:space="preserve">CNV-172</t>
  </si>
  <si>
    <t xml:space="preserve">CNV-173</t>
  </si>
  <si>
    <t xml:space="preserve">CNV-174</t>
  </si>
  <si>
    <t xml:space="preserve">CNV-175</t>
  </si>
  <si>
    <t xml:space="preserve">CNV-176</t>
  </si>
  <si>
    <t xml:space="preserve">CNV-177</t>
  </si>
  <si>
    <t xml:space="preserve">CNV-178</t>
  </si>
  <si>
    <t xml:space="preserve">CNV-179</t>
  </si>
  <si>
    <t xml:space="preserve">CNV-180</t>
  </si>
  <si>
    <t xml:space="preserve">CNV-181</t>
  </si>
  <si>
    <t xml:space="preserve">CNV-182</t>
  </si>
  <si>
    <t xml:space="preserve">CNV-183</t>
  </si>
  <si>
    <t xml:space="preserve">CNV-184</t>
  </si>
  <si>
    <t xml:space="preserve">CNV-185</t>
  </si>
  <si>
    <t xml:space="preserve">CNV-186</t>
  </si>
  <si>
    <t xml:space="preserve">CNV-187</t>
  </si>
  <si>
    <t xml:space="preserve">CNV-188</t>
  </si>
  <si>
    <t xml:space="preserve">CNV-189</t>
  </si>
  <si>
    <t xml:space="preserve">CNV-190</t>
  </si>
  <si>
    <t xml:space="preserve">CNV-191</t>
  </si>
  <si>
    <t xml:space="preserve">CNV-192</t>
  </si>
  <si>
    <t xml:space="preserve">CNV-193</t>
  </si>
  <si>
    <t xml:space="preserve">CNV-194</t>
  </si>
  <si>
    <t xml:space="preserve">CNV-195</t>
  </si>
  <si>
    <t xml:space="preserve">CNV-196</t>
  </si>
  <si>
    <t xml:space="preserve">CNV-197</t>
  </si>
  <si>
    <t xml:space="preserve">CNV-198</t>
  </si>
  <si>
    <t xml:space="preserve">CNV-199</t>
  </si>
  <si>
    <t xml:space="preserve">CNV-200</t>
  </si>
  <si>
    <t xml:space="preserve">⬢  CEMP  ·  Geral  —  Problemas</t>
  </si>
  <si>
    <t xml:space="preserve">O PROBLEMA</t>
  </si>
  <si>
    <t xml:space="preserve">AVALIAÇÃO DE RISCO</t>
  </si>
  <si>
    <t xml:space="preserve">GESTÃO</t>
  </si>
  <si>
    <t xml:space="preserve">REGISTRO</t>
  </si>
  <si>
    <t xml:space="preserve">Título do problema</t>
  </si>
  <si>
    <t xml:space="preserve">Descrição detalhada</t>
  </si>
  <si>
    <t xml:space="preserve">Categoria</t>
  </si>
  <si>
    <t xml:space="preserve">Situação</t>
  </si>
  <si>
    <t xml:space="preserve">Etapa / momento em que ocorre</t>
  </si>
  <si>
    <t xml:space="preserve">Impacto
(1–5)</t>
  </si>
  <si>
    <t xml:space="preserve">Probabilidade
(1–5)</t>
  </si>
  <si>
    <t xml:space="preserve">Score (auto)</t>
  </si>
  <si>
    <t xml:space="preserve">Prioridade (auto)</t>
  </si>
  <si>
    <t xml:space="preserve">Evidência / como identificamos</t>
  </si>
  <si>
    <t xml:space="preserve">Diretoria responsável</t>
  </si>
  <si>
    <t xml:space="preserve">Soluções vinculadas (auto)</t>
  </si>
  <si>
    <t xml:space="preserve">Data de registro</t>
  </si>
  <si>
    <t xml:space="preserve">Registrado por</t>
  </si>
  <si>
    <t xml:space="preserve">Observações</t>
  </si>
  <si>
    <t xml:space="preserve">GER-P001</t>
  </si>
  <si>
    <t xml:space="preserve">[EXEMPLO] Baixa retenção de membros após o processo seletivo</t>
  </si>
  <si>
    <t xml:space="preserve">Parte dos aprovados deixa o CEMP nos primeiros meses por falta de vínculo, de clareza sobre o papel e de acompanhamento.</t>
  </si>
  <si>
    <t xml:space="preserve">Gestão de pessoas e engajamento</t>
  </si>
  <si>
    <t xml:space="preserve">Primeiros 90 dias do membro</t>
  </si>
  <si>
    <t xml:space="preserve">Levantar desligamentos e feedback de saída do semestre anterior.</t>
  </si>
  <si>
    <t xml:space="preserve">Gestão de Pessoas</t>
  </si>
  <si>
    <t xml:space="preserve">Buscando solução</t>
  </si>
  <si>
    <t xml:space="preserve">Diretoria de P&amp;D</t>
  </si>
  <si>
    <t xml:space="preserve">Linha de exemplo — apague ou sobrescreva.</t>
  </si>
  <si>
    <t xml:space="preserve">GER-P002</t>
  </si>
  <si>
    <t xml:space="preserve">GER-P003</t>
  </si>
  <si>
    <t xml:space="preserve">GER-P004</t>
  </si>
  <si>
    <t xml:space="preserve">GER-P005</t>
  </si>
  <si>
    <t xml:space="preserve">GER-P006</t>
  </si>
  <si>
    <t xml:space="preserve">GER-P007</t>
  </si>
  <si>
    <t xml:space="preserve">GER-P008</t>
  </si>
  <si>
    <t xml:space="preserve">GER-P009</t>
  </si>
  <si>
    <t xml:space="preserve">GER-P010</t>
  </si>
  <si>
    <t xml:space="preserve">GER-P011</t>
  </si>
  <si>
    <t xml:space="preserve">GER-P012</t>
  </si>
  <si>
    <t xml:space="preserve">GER-P013</t>
  </si>
  <si>
    <t xml:space="preserve">GER-P014</t>
  </si>
  <si>
    <t xml:space="preserve">GER-P015</t>
  </si>
  <si>
    <t xml:space="preserve">GER-P016</t>
  </si>
  <si>
    <t xml:space="preserve">GER-P017</t>
  </si>
  <si>
    <t xml:space="preserve">GER-P018</t>
  </si>
  <si>
    <t xml:space="preserve">GER-P019</t>
  </si>
  <si>
    <t xml:space="preserve">GER-P020</t>
  </si>
  <si>
    <t xml:space="preserve">GER-P021</t>
  </si>
  <si>
    <t xml:space="preserve">GER-P022</t>
  </si>
  <si>
    <t xml:space="preserve">GER-P023</t>
  </si>
  <si>
    <t xml:space="preserve">GER-P024</t>
  </si>
  <si>
    <t xml:space="preserve">GER-P025</t>
  </si>
  <si>
    <t xml:space="preserve">GER-P026</t>
  </si>
  <si>
    <t xml:space="preserve">GER-P027</t>
  </si>
  <si>
    <t xml:space="preserve">GER-P028</t>
  </si>
  <si>
    <t xml:space="preserve">GER-P029</t>
  </si>
  <si>
    <t xml:space="preserve">GER-P030</t>
  </si>
  <si>
    <t xml:space="preserve">GER-P031</t>
  </si>
  <si>
    <t xml:space="preserve">GER-P032</t>
  </si>
  <si>
    <t xml:space="preserve">GER-P033</t>
  </si>
  <si>
    <t xml:space="preserve">GER-P034</t>
  </si>
  <si>
    <t xml:space="preserve">GER-P035</t>
  </si>
  <si>
    <t xml:space="preserve">GER-P036</t>
  </si>
  <si>
    <t xml:space="preserve">GER-P037</t>
  </si>
  <si>
    <t xml:space="preserve">GER-P038</t>
  </si>
  <si>
    <t xml:space="preserve">GER-P039</t>
  </si>
  <si>
    <t xml:space="preserve">GER-P040</t>
  </si>
  <si>
    <t xml:space="preserve">GER-P041</t>
  </si>
  <si>
    <t xml:space="preserve">GER-P042</t>
  </si>
  <si>
    <t xml:space="preserve">GER-P043</t>
  </si>
  <si>
    <t xml:space="preserve">GER-P044</t>
  </si>
  <si>
    <t xml:space="preserve">GER-P045</t>
  </si>
  <si>
    <t xml:space="preserve">GER-P046</t>
  </si>
  <si>
    <t xml:space="preserve">GER-P047</t>
  </si>
  <si>
    <t xml:space="preserve">GER-P048</t>
  </si>
  <si>
    <t xml:space="preserve">GER-P049</t>
  </si>
  <si>
    <t xml:space="preserve">GER-P050</t>
  </si>
  <si>
    <t xml:space="preserve">GER-P051</t>
  </si>
  <si>
    <t xml:space="preserve">GER-P052</t>
  </si>
  <si>
    <t xml:space="preserve">GER-P053</t>
  </si>
  <si>
    <t xml:space="preserve">GER-P054</t>
  </si>
  <si>
    <t xml:space="preserve">GER-P055</t>
  </si>
  <si>
    <t xml:space="preserve">GER-P056</t>
  </si>
  <si>
    <t xml:space="preserve">GER-P057</t>
  </si>
  <si>
    <t xml:space="preserve">GER-P058</t>
  </si>
  <si>
    <t xml:space="preserve">GER-P059</t>
  </si>
  <si>
    <t xml:space="preserve">GER-P060</t>
  </si>
  <si>
    <t xml:space="preserve">GER-P061</t>
  </si>
  <si>
    <t xml:space="preserve">GER-P062</t>
  </si>
  <si>
    <t xml:space="preserve">GER-P063</t>
  </si>
  <si>
    <t xml:space="preserve">GER-P064</t>
  </si>
  <si>
    <t xml:space="preserve">GER-P065</t>
  </si>
  <si>
    <t xml:space="preserve">GER-P066</t>
  </si>
  <si>
    <t xml:space="preserve">GER-P067</t>
  </si>
  <si>
    <t xml:space="preserve">GER-P068</t>
  </si>
  <si>
    <t xml:space="preserve">GER-P069</t>
  </si>
  <si>
    <t xml:space="preserve">GER-P070</t>
  </si>
  <si>
    <t xml:space="preserve">GER-P071</t>
  </si>
  <si>
    <t xml:space="preserve">GER-P072</t>
  </si>
  <si>
    <t xml:space="preserve">GER-P073</t>
  </si>
  <si>
    <t xml:space="preserve">GER-P074</t>
  </si>
  <si>
    <t xml:space="preserve">GER-P075</t>
  </si>
  <si>
    <t xml:space="preserve">GER-P076</t>
  </si>
  <si>
    <t xml:space="preserve">GER-P077</t>
  </si>
  <si>
    <t xml:space="preserve">GER-P078</t>
  </si>
  <si>
    <t xml:space="preserve">GER-P079</t>
  </si>
  <si>
    <t xml:space="preserve">GER-P080</t>
  </si>
  <si>
    <t xml:space="preserve">GER-P081</t>
  </si>
  <si>
    <t xml:space="preserve">GER-P082</t>
  </si>
  <si>
    <t xml:space="preserve">GER-P083</t>
  </si>
  <si>
    <t xml:space="preserve">GER-P084</t>
  </si>
  <si>
    <t xml:space="preserve">GER-P085</t>
  </si>
  <si>
    <t xml:space="preserve">GER-P086</t>
  </si>
  <si>
    <t xml:space="preserve">GER-P087</t>
  </si>
  <si>
    <t xml:space="preserve">GER-P088</t>
  </si>
  <si>
    <t xml:space="preserve">GER-P089</t>
  </si>
  <si>
    <t xml:space="preserve">GER-P090</t>
  </si>
  <si>
    <t xml:space="preserve">GER-P091</t>
  </si>
  <si>
    <t xml:space="preserve">GER-P092</t>
  </si>
  <si>
    <t xml:space="preserve">GER-P093</t>
  </si>
  <si>
    <t xml:space="preserve">GER-P094</t>
  </si>
  <si>
    <t xml:space="preserve">GER-P095</t>
  </si>
  <si>
    <t xml:space="preserve">GER-P096</t>
  </si>
  <si>
    <t xml:space="preserve">GER-P097</t>
  </si>
  <si>
    <t xml:space="preserve">GER-P098</t>
  </si>
  <si>
    <t xml:space="preserve">GER-P099</t>
  </si>
  <si>
    <t xml:space="preserve">GER-P100</t>
  </si>
  <si>
    <t xml:space="preserve">⬢  CEMP  ·  Geral  —  Soluções</t>
  </si>
  <si>
    <t xml:space="preserve">A SOLUÇÃO</t>
  </si>
  <si>
    <t xml:space="preserve">DE ONDE VEIO</t>
  </si>
  <si>
    <t xml:space="preserve">COMO IMPLANTAR</t>
  </si>
  <si>
    <t xml:space="preserve">VIABILIDADE</t>
  </si>
  <si>
    <t xml:space="preserve">EVIDÊNCIAS</t>
  </si>
  <si>
    <t xml:space="preserve">ACOMPANHAMENTO</t>
  </si>
  <si>
    <t xml:space="preserve">Nome da solução / prática</t>
  </si>
  <si>
    <t xml:space="preserve">Problema que resolve</t>
  </si>
  <si>
    <t xml:space="preserve">O que é a solução</t>
  </si>
  <si>
    <t xml:space="preserve">Fonte (organização)</t>
  </si>
  <si>
    <t xml:space="preserve">Tipo de fonte (auto)</t>
  </si>
  <si>
    <t xml:space="preserve">Como descobrimos</t>
  </si>
  <si>
    <t xml:space="preserve">Como implantar (passo a passo)</t>
  </si>
  <si>
    <t xml:space="preserve">Recursos necessários (pessoas, tempo, ferramentas)</t>
  </si>
  <si>
    <t xml:space="preserve">Custo estimado (R$)</t>
  </si>
  <si>
    <t xml:space="preserve">Esforço de implantação</t>
  </si>
  <si>
    <t xml:space="preserve">Impacto esperado</t>
  </si>
  <si>
    <t xml:space="preserve">Análise (auto)</t>
  </si>
  <si>
    <t xml:space="preserve">Dados / resultados da solução</t>
  </si>
  <si>
    <t xml:space="preserve">Link / referência</t>
  </si>
  <si>
    <t xml:space="preserve">Status de implantação</t>
  </si>
  <si>
    <t xml:space="preserve">Responsável</t>
  </si>
  <si>
    <t xml:space="preserve">Prazo previsto</t>
  </si>
  <si>
    <t xml:space="preserve">Riscos / lições / observações</t>
  </si>
  <si>
    <t xml:space="preserve">GER-S001</t>
  </si>
  <si>
    <t xml:space="preserve">[EXEMPLO] Programa de onboarding com padrinhos</t>
  </si>
  <si>
    <t xml:space="preserve">GER-P001 · [EXEMPLO] Baixa retenção de membros após o processo seletivo</t>
  </si>
  <si>
    <t xml:space="preserve">Cada novo membro é acompanhado por um membro mais experiente nos primeiros 90 dias, com metas e check-ins definidos.</t>
  </si>
  <si>
    <t xml:space="preserve">Conversa / reunião</t>
  </si>
  <si>
    <t xml:space="preserve">1) Definir critérios para escolher os padrinhos.
2) Montar um roteiro de 90 dias (semana 1, 30, 60 e 90).
3) Agendar check-ins quinzenais.
4) Medir a retenção no fim do semestre.</t>
  </si>
  <si>
    <t xml:space="preserve">1 responsável na diretoria + planilha de acompanhamento</t>
  </si>
  <si>
    <t xml:space="preserve">Baixo</t>
  </si>
  <si>
    <t xml:space="preserve">Alto</t>
  </si>
  <si>
    <t xml:space="preserve">[Dado ilustrativo] Registre aqui os números que a fonte compartilhou (ex.: retenção antes/depois).</t>
  </si>
  <si>
    <t xml:space="preserve">(cole aqui o link do material ou do perfil da fonte)</t>
  </si>
  <si>
    <t xml:space="preserve">Nome do responsável</t>
  </si>
  <si>
    <t xml:space="preserve">GER-S002</t>
  </si>
  <si>
    <t xml:space="preserve">GER-S003</t>
  </si>
  <si>
    <t xml:space="preserve">GER-S004</t>
  </si>
  <si>
    <t xml:space="preserve">GER-S005</t>
  </si>
  <si>
    <t xml:space="preserve">GER-S006</t>
  </si>
  <si>
    <t xml:space="preserve">GER-S007</t>
  </si>
  <si>
    <t xml:space="preserve">GER-S008</t>
  </si>
  <si>
    <t xml:space="preserve">GER-S009</t>
  </si>
  <si>
    <t xml:space="preserve">GER-S010</t>
  </si>
  <si>
    <t xml:space="preserve">GER-S011</t>
  </si>
  <si>
    <t xml:space="preserve">GER-S012</t>
  </si>
  <si>
    <t xml:space="preserve">GER-S013</t>
  </si>
  <si>
    <t xml:space="preserve">GER-S014</t>
  </si>
  <si>
    <t xml:space="preserve">GER-S015</t>
  </si>
  <si>
    <t xml:space="preserve">GER-S016</t>
  </si>
  <si>
    <t xml:space="preserve">GER-S017</t>
  </si>
  <si>
    <t xml:space="preserve">GER-S018</t>
  </si>
  <si>
    <t xml:space="preserve">GER-S019</t>
  </si>
  <si>
    <t xml:space="preserve">GER-S020</t>
  </si>
  <si>
    <t xml:space="preserve">GER-S021</t>
  </si>
  <si>
    <t xml:space="preserve">GER-S022</t>
  </si>
  <si>
    <t xml:space="preserve">GER-S023</t>
  </si>
  <si>
    <t xml:space="preserve">GER-S024</t>
  </si>
  <si>
    <t xml:space="preserve">GER-S025</t>
  </si>
  <si>
    <t xml:space="preserve">GER-S026</t>
  </si>
  <si>
    <t xml:space="preserve">GER-S027</t>
  </si>
  <si>
    <t xml:space="preserve">GER-S028</t>
  </si>
  <si>
    <t xml:space="preserve">GER-S029</t>
  </si>
  <si>
    <t xml:space="preserve">GER-S030</t>
  </si>
  <si>
    <t xml:space="preserve">GER-S031</t>
  </si>
  <si>
    <t xml:space="preserve">GER-S032</t>
  </si>
  <si>
    <t xml:space="preserve">GER-S033</t>
  </si>
  <si>
    <t xml:space="preserve">GER-S034</t>
  </si>
  <si>
    <t xml:space="preserve">GER-S035</t>
  </si>
  <si>
    <t xml:space="preserve">GER-S036</t>
  </si>
  <si>
    <t xml:space="preserve">GER-S037</t>
  </si>
  <si>
    <t xml:space="preserve">GER-S038</t>
  </si>
  <si>
    <t xml:space="preserve">GER-S039</t>
  </si>
  <si>
    <t xml:space="preserve">GER-S040</t>
  </si>
  <si>
    <t xml:space="preserve">GER-S041</t>
  </si>
  <si>
    <t xml:space="preserve">GER-S042</t>
  </si>
  <si>
    <t xml:space="preserve">GER-S043</t>
  </si>
  <si>
    <t xml:space="preserve">GER-S044</t>
  </si>
  <si>
    <t xml:space="preserve">GER-S045</t>
  </si>
  <si>
    <t xml:space="preserve">GER-S046</t>
  </si>
  <si>
    <t xml:space="preserve">GER-S047</t>
  </si>
  <si>
    <t xml:space="preserve">GER-S048</t>
  </si>
  <si>
    <t xml:space="preserve">GER-S049</t>
  </si>
  <si>
    <t xml:space="preserve">GER-S050</t>
  </si>
  <si>
    <t xml:space="preserve">GER-S051</t>
  </si>
  <si>
    <t xml:space="preserve">GER-S052</t>
  </si>
  <si>
    <t xml:space="preserve">GER-S053</t>
  </si>
  <si>
    <t xml:space="preserve">GER-S054</t>
  </si>
  <si>
    <t xml:space="preserve">GER-S055</t>
  </si>
  <si>
    <t xml:space="preserve">GER-S056</t>
  </si>
  <si>
    <t xml:space="preserve">GER-S057</t>
  </si>
  <si>
    <t xml:space="preserve">GER-S058</t>
  </si>
  <si>
    <t xml:space="preserve">GER-S059</t>
  </si>
  <si>
    <t xml:space="preserve">GER-S060</t>
  </si>
  <si>
    <t xml:space="preserve">GER-S061</t>
  </si>
  <si>
    <t xml:space="preserve">GER-S062</t>
  </si>
  <si>
    <t xml:space="preserve">GER-S063</t>
  </si>
  <si>
    <t xml:space="preserve">GER-S064</t>
  </si>
  <si>
    <t xml:space="preserve">GER-S065</t>
  </si>
  <si>
    <t xml:space="preserve">GER-S066</t>
  </si>
  <si>
    <t xml:space="preserve">GER-S067</t>
  </si>
  <si>
    <t xml:space="preserve">GER-S068</t>
  </si>
  <si>
    <t xml:space="preserve">GER-S069</t>
  </si>
  <si>
    <t xml:space="preserve">GER-S070</t>
  </si>
  <si>
    <t xml:space="preserve">GER-S071</t>
  </si>
  <si>
    <t xml:space="preserve">GER-S072</t>
  </si>
  <si>
    <t xml:space="preserve">GER-S073</t>
  </si>
  <si>
    <t xml:space="preserve">GER-S074</t>
  </si>
  <si>
    <t xml:space="preserve">GER-S075</t>
  </si>
  <si>
    <t xml:space="preserve">GER-S076</t>
  </si>
  <si>
    <t xml:space="preserve">GER-S077</t>
  </si>
  <si>
    <t xml:space="preserve">GER-S078</t>
  </si>
  <si>
    <t xml:space="preserve">GER-S079</t>
  </si>
  <si>
    <t xml:space="preserve">GER-S080</t>
  </si>
  <si>
    <t xml:space="preserve">GER-S081</t>
  </si>
  <si>
    <t xml:space="preserve">GER-S082</t>
  </si>
  <si>
    <t xml:space="preserve">GER-S083</t>
  </si>
  <si>
    <t xml:space="preserve">GER-S084</t>
  </si>
  <si>
    <t xml:space="preserve">GER-S085</t>
  </si>
  <si>
    <t xml:space="preserve">GER-S086</t>
  </si>
  <si>
    <t xml:space="preserve">GER-S087</t>
  </si>
  <si>
    <t xml:space="preserve">GER-S088</t>
  </si>
  <si>
    <t xml:space="preserve">GER-S089</t>
  </si>
  <si>
    <t xml:space="preserve">GER-S090</t>
  </si>
  <si>
    <t xml:space="preserve">GER-S091</t>
  </si>
  <si>
    <t xml:space="preserve">GER-S092</t>
  </si>
  <si>
    <t xml:space="preserve">GER-S093</t>
  </si>
  <si>
    <t xml:space="preserve">GER-S094</t>
  </si>
  <si>
    <t xml:space="preserve">GER-S095</t>
  </si>
  <si>
    <t xml:space="preserve">GER-S096</t>
  </si>
  <si>
    <t xml:space="preserve">GER-S097</t>
  </si>
  <si>
    <t xml:space="preserve">GER-S098</t>
  </si>
  <si>
    <t xml:space="preserve">GER-S099</t>
  </si>
  <si>
    <t xml:space="preserve">GER-S100</t>
  </si>
  <si>
    <t xml:space="preserve">⬢  CEMP  ·  Mentoring  —  Problemas</t>
  </si>
  <si>
    <t xml:space="preserve">MEN-P001</t>
  </si>
  <si>
    <t xml:space="preserve">[EXEMPLO] Desistência de mentorados ao longo do ciclo</t>
  </si>
  <si>
    <t xml:space="preserve">Mentorados perdem o ritmo após as primeiras semanas e deixam de comparecer às sessões.</t>
  </si>
  <si>
    <t xml:space="preserve">Público e adesão</t>
  </si>
  <si>
    <t xml:space="preserve">Meio do ciclo de mentoria</t>
  </si>
  <si>
    <t xml:space="preserve">Comparar lista de presença da 1ª e da última sessão.</t>
  </si>
  <si>
    <t xml:space="preserve">Projetos</t>
  </si>
  <si>
    <t xml:space="preserve">MEN-P002</t>
  </si>
  <si>
    <t xml:space="preserve">MEN-P003</t>
  </si>
  <si>
    <t xml:space="preserve">MEN-P004</t>
  </si>
  <si>
    <t xml:space="preserve">MEN-P005</t>
  </si>
  <si>
    <t xml:space="preserve">MEN-P006</t>
  </si>
  <si>
    <t xml:space="preserve">MEN-P007</t>
  </si>
  <si>
    <t xml:space="preserve">MEN-P008</t>
  </si>
  <si>
    <t xml:space="preserve">MEN-P009</t>
  </si>
  <si>
    <t xml:space="preserve">MEN-P010</t>
  </si>
  <si>
    <t xml:space="preserve">MEN-P011</t>
  </si>
  <si>
    <t xml:space="preserve">MEN-P012</t>
  </si>
  <si>
    <t xml:space="preserve">MEN-P013</t>
  </si>
  <si>
    <t xml:space="preserve">MEN-P014</t>
  </si>
  <si>
    <t xml:space="preserve">MEN-P015</t>
  </si>
  <si>
    <t xml:space="preserve">MEN-P016</t>
  </si>
  <si>
    <t xml:space="preserve">MEN-P017</t>
  </si>
  <si>
    <t xml:space="preserve">MEN-P018</t>
  </si>
  <si>
    <t xml:space="preserve">MEN-P019</t>
  </si>
  <si>
    <t xml:space="preserve">MEN-P020</t>
  </si>
  <si>
    <t xml:space="preserve">MEN-P021</t>
  </si>
  <si>
    <t xml:space="preserve">MEN-P022</t>
  </si>
  <si>
    <t xml:space="preserve">MEN-P023</t>
  </si>
  <si>
    <t xml:space="preserve">MEN-P024</t>
  </si>
  <si>
    <t xml:space="preserve">MEN-P025</t>
  </si>
  <si>
    <t xml:space="preserve">MEN-P026</t>
  </si>
  <si>
    <t xml:space="preserve">MEN-P027</t>
  </si>
  <si>
    <t xml:space="preserve">MEN-P028</t>
  </si>
  <si>
    <t xml:space="preserve">MEN-P029</t>
  </si>
  <si>
    <t xml:space="preserve">MEN-P030</t>
  </si>
  <si>
    <t xml:space="preserve">MEN-P031</t>
  </si>
  <si>
    <t xml:space="preserve">MEN-P032</t>
  </si>
  <si>
    <t xml:space="preserve">MEN-P033</t>
  </si>
  <si>
    <t xml:space="preserve">MEN-P034</t>
  </si>
  <si>
    <t xml:space="preserve">MEN-P035</t>
  </si>
  <si>
    <t xml:space="preserve">MEN-P036</t>
  </si>
  <si>
    <t xml:space="preserve">MEN-P037</t>
  </si>
  <si>
    <t xml:space="preserve">MEN-P038</t>
  </si>
  <si>
    <t xml:space="preserve">MEN-P039</t>
  </si>
  <si>
    <t xml:space="preserve">MEN-P040</t>
  </si>
  <si>
    <t xml:space="preserve">MEN-P041</t>
  </si>
  <si>
    <t xml:space="preserve">MEN-P042</t>
  </si>
  <si>
    <t xml:space="preserve">MEN-P043</t>
  </si>
  <si>
    <t xml:space="preserve">MEN-P044</t>
  </si>
  <si>
    <t xml:space="preserve">MEN-P045</t>
  </si>
  <si>
    <t xml:space="preserve">MEN-P046</t>
  </si>
  <si>
    <t xml:space="preserve">MEN-P047</t>
  </si>
  <si>
    <t xml:space="preserve">MEN-P048</t>
  </si>
  <si>
    <t xml:space="preserve">MEN-P049</t>
  </si>
  <si>
    <t xml:space="preserve">MEN-P050</t>
  </si>
  <si>
    <t xml:space="preserve">MEN-P051</t>
  </si>
  <si>
    <t xml:space="preserve">MEN-P052</t>
  </si>
  <si>
    <t xml:space="preserve">MEN-P053</t>
  </si>
  <si>
    <t xml:space="preserve">MEN-P054</t>
  </si>
  <si>
    <t xml:space="preserve">MEN-P055</t>
  </si>
  <si>
    <t xml:space="preserve">MEN-P056</t>
  </si>
  <si>
    <t xml:space="preserve">MEN-P057</t>
  </si>
  <si>
    <t xml:space="preserve">MEN-P058</t>
  </si>
  <si>
    <t xml:space="preserve">MEN-P059</t>
  </si>
  <si>
    <t xml:space="preserve">MEN-P060</t>
  </si>
  <si>
    <t xml:space="preserve">MEN-P061</t>
  </si>
  <si>
    <t xml:space="preserve">MEN-P062</t>
  </si>
  <si>
    <t xml:space="preserve">MEN-P063</t>
  </si>
  <si>
    <t xml:space="preserve">MEN-P064</t>
  </si>
  <si>
    <t xml:space="preserve">MEN-P065</t>
  </si>
  <si>
    <t xml:space="preserve">MEN-P066</t>
  </si>
  <si>
    <t xml:space="preserve">MEN-P067</t>
  </si>
  <si>
    <t xml:space="preserve">MEN-P068</t>
  </si>
  <si>
    <t xml:space="preserve">MEN-P069</t>
  </si>
  <si>
    <t xml:space="preserve">MEN-P070</t>
  </si>
  <si>
    <t xml:space="preserve">MEN-P071</t>
  </si>
  <si>
    <t xml:space="preserve">MEN-P072</t>
  </si>
  <si>
    <t xml:space="preserve">MEN-P073</t>
  </si>
  <si>
    <t xml:space="preserve">MEN-P074</t>
  </si>
  <si>
    <t xml:space="preserve">MEN-P075</t>
  </si>
  <si>
    <t xml:space="preserve">MEN-P076</t>
  </si>
  <si>
    <t xml:space="preserve">MEN-P077</t>
  </si>
  <si>
    <t xml:space="preserve">MEN-P078</t>
  </si>
  <si>
    <t xml:space="preserve">MEN-P079</t>
  </si>
  <si>
    <t xml:space="preserve">MEN-P080</t>
  </si>
  <si>
    <t xml:space="preserve">MEN-P081</t>
  </si>
  <si>
    <t xml:space="preserve">MEN-P082</t>
  </si>
  <si>
    <t xml:space="preserve">MEN-P083</t>
  </si>
  <si>
    <t xml:space="preserve">MEN-P084</t>
  </si>
  <si>
    <t xml:space="preserve">MEN-P085</t>
  </si>
  <si>
    <t xml:space="preserve">MEN-P086</t>
  </si>
  <si>
    <t xml:space="preserve">MEN-P087</t>
  </si>
  <si>
    <t xml:space="preserve">MEN-P088</t>
  </si>
  <si>
    <t xml:space="preserve">MEN-P089</t>
  </si>
  <si>
    <t xml:space="preserve">MEN-P090</t>
  </si>
  <si>
    <t xml:space="preserve">MEN-P091</t>
  </si>
  <si>
    <t xml:space="preserve">MEN-P092</t>
  </si>
  <si>
    <t xml:space="preserve">MEN-P093</t>
  </si>
  <si>
    <t xml:space="preserve">MEN-P094</t>
  </si>
  <si>
    <t xml:space="preserve">MEN-P095</t>
  </si>
  <si>
    <t xml:space="preserve">MEN-P096</t>
  </si>
  <si>
    <t xml:space="preserve">MEN-P097</t>
  </si>
  <si>
    <t xml:space="preserve">MEN-P098</t>
  </si>
  <si>
    <t xml:space="preserve">MEN-P099</t>
  </si>
  <si>
    <t xml:space="preserve">MEN-P100</t>
  </si>
  <si>
    <t xml:space="preserve">⬢  CEMP  ·  Mentoring  —  Soluções</t>
  </si>
  <si>
    <t xml:space="preserve">MEN-S001</t>
  </si>
  <si>
    <t xml:space="preserve">[EXEMPLO] Check-ins quinzenais com formulário rápido</t>
  </si>
  <si>
    <t xml:space="preserve">MEN-P001 · [EXEMPLO] Desistência de mentorados ao longo do ciclo</t>
  </si>
  <si>
    <t xml:space="preserve">Formulário de 2 minutos após cada sessão para medir presença, evolução e satisfação, com alerta para quem faltar duas vezes.</t>
  </si>
  <si>
    <t xml:space="preserve">1) Criar formulário com 5 perguntas.
2) Enviar após cada sessão.
3) Revisar as respostas a cada 15 dias.
4) Contatar quem faltou duas vezes seguidas.</t>
  </si>
  <si>
    <t xml:space="preserve">Formulário online + 1 membro para acompanhar</t>
  </si>
  <si>
    <t xml:space="preserve">Médio</t>
  </si>
  <si>
    <t xml:space="preserve">[Dado ilustrativo] Registre aqui presença média e satisfação relatadas pela fonte.</t>
  </si>
  <si>
    <t xml:space="preserve">(cole aqui o link)</t>
  </si>
  <si>
    <t xml:space="preserve">MEN-S002</t>
  </si>
  <si>
    <t xml:space="preserve">MEN-S003</t>
  </si>
  <si>
    <t xml:space="preserve">MEN-S004</t>
  </si>
  <si>
    <t xml:space="preserve">MEN-S005</t>
  </si>
  <si>
    <t xml:space="preserve">MEN-S006</t>
  </si>
  <si>
    <t xml:space="preserve">MEN-S007</t>
  </si>
  <si>
    <t xml:space="preserve">MEN-S008</t>
  </si>
  <si>
    <t xml:space="preserve">MEN-S009</t>
  </si>
  <si>
    <t xml:space="preserve">MEN-S010</t>
  </si>
  <si>
    <t xml:space="preserve">MEN-S011</t>
  </si>
  <si>
    <t xml:space="preserve">MEN-S012</t>
  </si>
  <si>
    <t xml:space="preserve">MEN-S013</t>
  </si>
  <si>
    <t xml:space="preserve">MEN-S014</t>
  </si>
  <si>
    <t xml:space="preserve">MEN-S015</t>
  </si>
  <si>
    <t xml:space="preserve">MEN-S016</t>
  </si>
  <si>
    <t xml:space="preserve">MEN-S017</t>
  </si>
  <si>
    <t xml:space="preserve">MEN-S018</t>
  </si>
  <si>
    <t xml:space="preserve">MEN-S019</t>
  </si>
  <si>
    <t xml:space="preserve">MEN-S020</t>
  </si>
  <si>
    <t xml:space="preserve">MEN-S021</t>
  </si>
  <si>
    <t xml:space="preserve">MEN-S022</t>
  </si>
  <si>
    <t xml:space="preserve">MEN-S023</t>
  </si>
  <si>
    <t xml:space="preserve">MEN-S024</t>
  </si>
  <si>
    <t xml:space="preserve">MEN-S025</t>
  </si>
  <si>
    <t xml:space="preserve">MEN-S026</t>
  </si>
  <si>
    <t xml:space="preserve">MEN-S027</t>
  </si>
  <si>
    <t xml:space="preserve">MEN-S028</t>
  </si>
  <si>
    <t xml:space="preserve">MEN-S029</t>
  </si>
  <si>
    <t xml:space="preserve">MEN-S030</t>
  </si>
  <si>
    <t xml:space="preserve">MEN-S031</t>
  </si>
  <si>
    <t xml:space="preserve">MEN-S032</t>
  </si>
  <si>
    <t xml:space="preserve">MEN-S033</t>
  </si>
  <si>
    <t xml:space="preserve">MEN-S034</t>
  </si>
  <si>
    <t xml:space="preserve">MEN-S035</t>
  </si>
  <si>
    <t xml:space="preserve">MEN-S036</t>
  </si>
  <si>
    <t xml:space="preserve">MEN-S037</t>
  </si>
  <si>
    <t xml:space="preserve">MEN-S038</t>
  </si>
  <si>
    <t xml:space="preserve">MEN-S039</t>
  </si>
  <si>
    <t xml:space="preserve">MEN-S040</t>
  </si>
  <si>
    <t xml:space="preserve">MEN-S041</t>
  </si>
  <si>
    <t xml:space="preserve">MEN-S042</t>
  </si>
  <si>
    <t xml:space="preserve">MEN-S043</t>
  </si>
  <si>
    <t xml:space="preserve">MEN-S044</t>
  </si>
  <si>
    <t xml:space="preserve">MEN-S045</t>
  </si>
  <si>
    <t xml:space="preserve">MEN-S046</t>
  </si>
  <si>
    <t xml:space="preserve">MEN-S047</t>
  </si>
  <si>
    <t xml:space="preserve">MEN-S048</t>
  </si>
  <si>
    <t xml:space="preserve">MEN-S049</t>
  </si>
  <si>
    <t xml:space="preserve">MEN-S050</t>
  </si>
  <si>
    <t xml:space="preserve">MEN-S051</t>
  </si>
  <si>
    <t xml:space="preserve">MEN-S052</t>
  </si>
  <si>
    <t xml:space="preserve">MEN-S053</t>
  </si>
  <si>
    <t xml:space="preserve">MEN-S054</t>
  </si>
  <si>
    <t xml:space="preserve">MEN-S055</t>
  </si>
  <si>
    <t xml:space="preserve">MEN-S056</t>
  </si>
  <si>
    <t xml:space="preserve">MEN-S057</t>
  </si>
  <si>
    <t xml:space="preserve">MEN-S058</t>
  </si>
  <si>
    <t xml:space="preserve">MEN-S059</t>
  </si>
  <si>
    <t xml:space="preserve">MEN-S060</t>
  </si>
  <si>
    <t xml:space="preserve">MEN-S061</t>
  </si>
  <si>
    <t xml:space="preserve">MEN-S062</t>
  </si>
  <si>
    <t xml:space="preserve">MEN-S063</t>
  </si>
  <si>
    <t xml:space="preserve">MEN-S064</t>
  </si>
  <si>
    <t xml:space="preserve">MEN-S065</t>
  </si>
  <si>
    <t xml:space="preserve">MEN-S066</t>
  </si>
  <si>
    <t xml:space="preserve">MEN-S067</t>
  </si>
  <si>
    <t xml:space="preserve">MEN-S068</t>
  </si>
  <si>
    <t xml:space="preserve">MEN-S069</t>
  </si>
  <si>
    <t xml:space="preserve">MEN-S070</t>
  </si>
  <si>
    <t xml:space="preserve">MEN-S071</t>
  </si>
  <si>
    <t xml:space="preserve">MEN-S072</t>
  </si>
  <si>
    <t xml:space="preserve">MEN-S073</t>
  </si>
  <si>
    <t xml:space="preserve">MEN-S074</t>
  </si>
  <si>
    <t xml:space="preserve">MEN-S075</t>
  </si>
  <si>
    <t xml:space="preserve">MEN-S076</t>
  </si>
  <si>
    <t xml:space="preserve">MEN-S077</t>
  </si>
  <si>
    <t xml:space="preserve">MEN-S078</t>
  </si>
  <si>
    <t xml:space="preserve">MEN-S079</t>
  </si>
  <si>
    <t xml:space="preserve">MEN-S080</t>
  </si>
  <si>
    <t xml:space="preserve">MEN-S081</t>
  </si>
  <si>
    <t xml:space="preserve">MEN-S082</t>
  </si>
  <si>
    <t xml:space="preserve">MEN-S083</t>
  </si>
  <si>
    <t xml:space="preserve">MEN-S084</t>
  </si>
  <si>
    <t xml:space="preserve">MEN-S085</t>
  </si>
  <si>
    <t xml:space="preserve">MEN-S086</t>
  </si>
  <si>
    <t xml:space="preserve">MEN-S087</t>
  </si>
  <si>
    <t xml:space="preserve">MEN-S088</t>
  </si>
  <si>
    <t xml:space="preserve">MEN-S089</t>
  </si>
  <si>
    <t xml:space="preserve">MEN-S090</t>
  </si>
  <si>
    <t xml:space="preserve">MEN-S091</t>
  </si>
  <si>
    <t xml:space="preserve">MEN-S092</t>
  </si>
  <si>
    <t xml:space="preserve">MEN-S093</t>
  </si>
  <si>
    <t xml:space="preserve">MEN-S094</t>
  </si>
  <si>
    <t xml:space="preserve">MEN-S095</t>
  </si>
  <si>
    <t xml:space="preserve">MEN-S096</t>
  </si>
  <si>
    <t xml:space="preserve">MEN-S097</t>
  </si>
  <si>
    <t xml:space="preserve">MEN-S098</t>
  </si>
  <si>
    <t xml:space="preserve">MEN-S099</t>
  </si>
  <si>
    <t xml:space="preserve">MEN-S100</t>
  </si>
  <si>
    <t xml:space="preserve">⬢  CEMP  ·  Feira  —  Problemas</t>
  </si>
  <si>
    <t xml:space="preserve">FEI-P001</t>
  </si>
  <si>
    <t xml:space="preserve">[EXEMPLO] Dificuldade em captar patrocínio para a Feira</t>
  </si>
  <si>
    <t xml:space="preserve">Poucas empresas respondem aos pedidos de patrocínio e a negociação começa tarde.</t>
  </si>
  <si>
    <t xml:space="preserve">Captação de recursos e patrocínio</t>
  </si>
  <si>
    <t xml:space="preserve">Pré-evento (3 a 4 meses antes)</t>
  </si>
  <si>
    <t xml:space="preserve">Taxa de resposta dos contatos da última edição.</t>
  </si>
  <si>
    <t xml:space="preserve">Parcerias</t>
  </si>
  <si>
    <t xml:space="preserve">Identificado</t>
  </si>
  <si>
    <t xml:space="preserve">FEI-P002</t>
  </si>
  <si>
    <t xml:space="preserve">FEI-P003</t>
  </si>
  <si>
    <t xml:space="preserve">FEI-P004</t>
  </si>
  <si>
    <t xml:space="preserve">FEI-P005</t>
  </si>
  <si>
    <t xml:space="preserve">FEI-P006</t>
  </si>
  <si>
    <t xml:space="preserve">FEI-P007</t>
  </si>
  <si>
    <t xml:space="preserve">FEI-P008</t>
  </si>
  <si>
    <t xml:space="preserve">FEI-P009</t>
  </si>
  <si>
    <t xml:space="preserve">FEI-P010</t>
  </si>
  <si>
    <t xml:space="preserve">FEI-P011</t>
  </si>
  <si>
    <t xml:space="preserve">FEI-P012</t>
  </si>
  <si>
    <t xml:space="preserve">FEI-P013</t>
  </si>
  <si>
    <t xml:space="preserve">FEI-P014</t>
  </si>
  <si>
    <t xml:space="preserve">FEI-P015</t>
  </si>
  <si>
    <t xml:space="preserve">FEI-P016</t>
  </si>
  <si>
    <t xml:space="preserve">FEI-P017</t>
  </si>
  <si>
    <t xml:space="preserve">FEI-P018</t>
  </si>
  <si>
    <t xml:space="preserve">FEI-P019</t>
  </si>
  <si>
    <t xml:space="preserve">FEI-P020</t>
  </si>
  <si>
    <t xml:space="preserve">FEI-P021</t>
  </si>
  <si>
    <t xml:space="preserve">FEI-P022</t>
  </si>
  <si>
    <t xml:space="preserve">FEI-P023</t>
  </si>
  <si>
    <t xml:space="preserve">FEI-P024</t>
  </si>
  <si>
    <t xml:space="preserve">FEI-P025</t>
  </si>
  <si>
    <t xml:space="preserve">FEI-P026</t>
  </si>
  <si>
    <t xml:space="preserve">FEI-P027</t>
  </si>
  <si>
    <t xml:space="preserve">FEI-P028</t>
  </si>
  <si>
    <t xml:space="preserve">FEI-P029</t>
  </si>
  <si>
    <t xml:space="preserve">FEI-P030</t>
  </si>
  <si>
    <t xml:space="preserve">FEI-P031</t>
  </si>
  <si>
    <t xml:space="preserve">FEI-P032</t>
  </si>
  <si>
    <t xml:space="preserve">FEI-P033</t>
  </si>
  <si>
    <t xml:space="preserve">FEI-P034</t>
  </si>
  <si>
    <t xml:space="preserve">FEI-P035</t>
  </si>
  <si>
    <t xml:space="preserve">FEI-P036</t>
  </si>
  <si>
    <t xml:space="preserve">FEI-P037</t>
  </si>
  <si>
    <t xml:space="preserve">FEI-P038</t>
  </si>
  <si>
    <t xml:space="preserve">FEI-P039</t>
  </si>
  <si>
    <t xml:space="preserve">FEI-P040</t>
  </si>
  <si>
    <t xml:space="preserve">FEI-P041</t>
  </si>
  <si>
    <t xml:space="preserve">FEI-P042</t>
  </si>
  <si>
    <t xml:space="preserve">FEI-P043</t>
  </si>
  <si>
    <t xml:space="preserve">FEI-P044</t>
  </si>
  <si>
    <t xml:space="preserve">FEI-P045</t>
  </si>
  <si>
    <t xml:space="preserve">FEI-P046</t>
  </si>
  <si>
    <t xml:space="preserve">FEI-P047</t>
  </si>
  <si>
    <t xml:space="preserve">FEI-P048</t>
  </si>
  <si>
    <t xml:space="preserve">FEI-P049</t>
  </si>
  <si>
    <t xml:space="preserve">FEI-P050</t>
  </si>
  <si>
    <t xml:space="preserve">FEI-P051</t>
  </si>
  <si>
    <t xml:space="preserve">FEI-P052</t>
  </si>
  <si>
    <t xml:space="preserve">FEI-P053</t>
  </si>
  <si>
    <t xml:space="preserve">FEI-P054</t>
  </si>
  <si>
    <t xml:space="preserve">FEI-P055</t>
  </si>
  <si>
    <t xml:space="preserve">FEI-P056</t>
  </si>
  <si>
    <t xml:space="preserve">FEI-P057</t>
  </si>
  <si>
    <t xml:space="preserve">FEI-P058</t>
  </si>
  <si>
    <t xml:space="preserve">FEI-P059</t>
  </si>
  <si>
    <t xml:space="preserve">FEI-P060</t>
  </si>
  <si>
    <t xml:space="preserve">FEI-P061</t>
  </si>
  <si>
    <t xml:space="preserve">FEI-P062</t>
  </si>
  <si>
    <t xml:space="preserve">FEI-P063</t>
  </si>
  <si>
    <t xml:space="preserve">FEI-P064</t>
  </si>
  <si>
    <t xml:space="preserve">FEI-P065</t>
  </si>
  <si>
    <t xml:space="preserve">FEI-P066</t>
  </si>
  <si>
    <t xml:space="preserve">FEI-P067</t>
  </si>
  <si>
    <t xml:space="preserve">FEI-P068</t>
  </si>
  <si>
    <t xml:space="preserve">FEI-P069</t>
  </si>
  <si>
    <t xml:space="preserve">FEI-P070</t>
  </si>
  <si>
    <t xml:space="preserve">FEI-P071</t>
  </si>
  <si>
    <t xml:space="preserve">FEI-P072</t>
  </si>
  <si>
    <t xml:space="preserve">FEI-P073</t>
  </si>
  <si>
    <t xml:space="preserve">FEI-P074</t>
  </si>
  <si>
    <t xml:space="preserve">FEI-P075</t>
  </si>
  <si>
    <t xml:space="preserve">FEI-P076</t>
  </si>
  <si>
    <t xml:space="preserve">FEI-P077</t>
  </si>
  <si>
    <t xml:space="preserve">FEI-P078</t>
  </si>
  <si>
    <t xml:space="preserve">FEI-P079</t>
  </si>
  <si>
    <t xml:space="preserve">FEI-P080</t>
  </si>
  <si>
    <t xml:space="preserve">FEI-P081</t>
  </si>
  <si>
    <t xml:space="preserve">FEI-P082</t>
  </si>
  <si>
    <t xml:space="preserve">FEI-P083</t>
  </si>
  <si>
    <t xml:space="preserve">FEI-P084</t>
  </si>
  <si>
    <t xml:space="preserve">FEI-P085</t>
  </si>
  <si>
    <t xml:space="preserve">FEI-P086</t>
  </si>
  <si>
    <t xml:space="preserve">FEI-P087</t>
  </si>
  <si>
    <t xml:space="preserve">FEI-P088</t>
  </si>
  <si>
    <t xml:space="preserve">FEI-P089</t>
  </si>
  <si>
    <t xml:space="preserve">FEI-P090</t>
  </si>
  <si>
    <t xml:space="preserve">FEI-P091</t>
  </si>
  <si>
    <t xml:space="preserve">FEI-P092</t>
  </si>
  <si>
    <t xml:space="preserve">FEI-P093</t>
  </si>
  <si>
    <t xml:space="preserve">FEI-P094</t>
  </si>
  <si>
    <t xml:space="preserve">FEI-P095</t>
  </si>
  <si>
    <t xml:space="preserve">FEI-P096</t>
  </si>
  <si>
    <t xml:space="preserve">FEI-P097</t>
  </si>
  <si>
    <t xml:space="preserve">FEI-P098</t>
  </si>
  <si>
    <t xml:space="preserve">FEI-P099</t>
  </si>
  <si>
    <t xml:space="preserve">FEI-P100</t>
  </si>
  <si>
    <t xml:space="preserve">⬢  CEMP  ·  Feira  —  Soluções</t>
  </si>
  <si>
    <t xml:space="preserve">FEI-S001</t>
  </si>
  <si>
    <t xml:space="preserve">[EXEMPLO] Kit de patrocínio com cotas e contrapartidas</t>
  </si>
  <si>
    <t xml:space="preserve">FEI-P001 · [EXEMPLO] Dificuldade em captar patrocínio para a Feira</t>
  </si>
  <si>
    <t xml:space="preserve">Apresentação padronizada com cotas (ouro, prata, bronze), contrapartidas claras e lista de prospecção por segmento.</t>
  </si>
  <si>
    <t xml:space="preserve">1) Definir cotas e contrapartidas.
2) Montar apresentação e lista de empresas por segmento.
3) Dividir a lista entre a equipe.
4) Acompanhar respostas em planilha.</t>
  </si>
  <si>
    <t xml:space="preserve">Design da apresentação + equipe de captação</t>
  </si>
  <si>
    <t xml:space="preserve">[Dado ilustrativo] Registre aqui valores captados e taxa de resposta relatados pela fonte.</t>
  </si>
  <si>
    <t xml:space="preserve">FEI-S002</t>
  </si>
  <si>
    <t xml:space="preserve">FEI-S003</t>
  </si>
  <si>
    <t xml:space="preserve">FEI-S004</t>
  </si>
  <si>
    <t xml:space="preserve">FEI-S005</t>
  </si>
  <si>
    <t xml:space="preserve">FEI-S006</t>
  </si>
  <si>
    <t xml:space="preserve">FEI-S007</t>
  </si>
  <si>
    <t xml:space="preserve">FEI-S008</t>
  </si>
  <si>
    <t xml:space="preserve">FEI-S009</t>
  </si>
  <si>
    <t xml:space="preserve">FEI-S010</t>
  </si>
  <si>
    <t xml:space="preserve">FEI-S011</t>
  </si>
  <si>
    <t xml:space="preserve">FEI-S012</t>
  </si>
  <si>
    <t xml:space="preserve">FEI-S013</t>
  </si>
  <si>
    <t xml:space="preserve">FEI-S014</t>
  </si>
  <si>
    <t xml:space="preserve">FEI-S015</t>
  </si>
  <si>
    <t xml:space="preserve">FEI-S016</t>
  </si>
  <si>
    <t xml:space="preserve">FEI-S017</t>
  </si>
  <si>
    <t xml:space="preserve">FEI-S018</t>
  </si>
  <si>
    <t xml:space="preserve">FEI-S019</t>
  </si>
  <si>
    <t xml:space="preserve">FEI-S020</t>
  </si>
  <si>
    <t xml:space="preserve">FEI-S021</t>
  </si>
  <si>
    <t xml:space="preserve">FEI-S022</t>
  </si>
  <si>
    <t xml:space="preserve">FEI-S023</t>
  </si>
  <si>
    <t xml:space="preserve">FEI-S024</t>
  </si>
  <si>
    <t xml:space="preserve">FEI-S025</t>
  </si>
  <si>
    <t xml:space="preserve">FEI-S026</t>
  </si>
  <si>
    <t xml:space="preserve">FEI-S027</t>
  </si>
  <si>
    <t xml:space="preserve">FEI-S028</t>
  </si>
  <si>
    <t xml:space="preserve">FEI-S029</t>
  </si>
  <si>
    <t xml:space="preserve">FEI-S030</t>
  </si>
  <si>
    <t xml:space="preserve">FEI-S031</t>
  </si>
  <si>
    <t xml:space="preserve">FEI-S032</t>
  </si>
  <si>
    <t xml:space="preserve">FEI-S033</t>
  </si>
  <si>
    <t xml:space="preserve">FEI-S034</t>
  </si>
  <si>
    <t xml:space="preserve">FEI-S035</t>
  </si>
  <si>
    <t xml:space="preserve">FEI-S036</t>
  </si>
  <si>
    <t xml:space="preserve">FEI-S037</t>
  </si>
  <si>
    <t xml:space="preserve">FEI-S038</t>
  </si>
  <si>
    <t xml:space="preserve">FEI-S039</t>
  </si>
  <si>
    <t xml:space="preserve">FEI-S040</t>
  </si>
  <si>
    <t xml:space="preserve">FEI-S041</t>
  </si>
  <si>
    <t xml:space="preserve">FEI-S042</t>
  </si>
  <si>
    <t xml:space="preserve">FEI-S043</t>
  </si>
  <si>
    <t xml:space="preserve">FEI-S044</t>
  </si>
  <si>
    <t xml:space="preserve">FEI-S045</t>
  </si>
  <si>
    <t xml:space="preserve">FEI-S046</t>
  </si>
  <si>
    <t xml:space="preserve">FEI-S047</t>
  </si>
  <si>
    <t xml:space="preserve">FEI-S048</t>
  </si>
  <si>
    <t xml:space="preserve">FEI-S049</t>
  </si>
  <si>
    <t xml:space="preserve">FEI-S050</t>
  </si>
  <si>
    <t xml:space="preserve">FEI-S051</t>
  </si>
  <si>
    <t xml:space="preserve">FEI-S052</t>
  </si>
  <si>
    <t xml:space="preserve">FEI-S053</t>
  </si>
  <si>
    <t xml:space="preserve">FEI-S054</t>
  </si>
  <si>
    <t xml:space="preserve">FEI-S055</t>
  </si>
  <si>
    <t xml:space="preserve">FEI-S056</t>
  </si>
  <si>
    <t xml:space="preserve">FEI-S057</t>
  </si>
  <si>
    <t xml:space="preserve">FEI-S058</t>
  </si>
  <si>
    <t xml:space="preserve">FEI-S059</t>
  </si>
  <si>
    <t xml:space="preserve">FEI-S060</t>
  </si>
  <si>
    <t xml:space="preserve">FEI-S061</t>
  </si>
  <si>
    <t xml:space="preserve">FEI-S062</t>
  </si>
  <si>
    <t xml:space="preserve">FEI-S063</t>
  </si>
  <si>
    <t xml:space="preserve">FEI-S064</t>
  </si>
  <si>
    <t xml:space="preserve">FEI-S065</t>
  </si>
  <si>
    <t xml:space="preserve">FEI-S066</t>
  </si>
  <si>
    <t xml:space="preserve">FEI-S067</t>
  </si>
  <si>
    <t xml:space="preserve">FEI-S068</t>
  </si>
  <si>
    <t xml:space="preserve">FEI-S069</t>
  </si>
  <si>
    <t xml:space="preserve">FEI-S070</t>
  </si>
  <si>
    <t xml:space="preserve">FEI-S071</t>
  </si>
  <si>
    <t xml:space="preserve">FEI-S072</t>
  </si>
  <si>
    <t xml:space="preserve">FEI-S073</t>
  </si>
  <si>
    <t xml:space="preserve">FEI-S074</t>
  </si>
  <si>
    <t xml:space="preserve">FEI-S075</t>
  </si>
  <si>
    <t xml:space="preserve">FEI-S076</t>
  </si>
  <si>
    <t xml:space="preserve">FEI-S077</t>
  </si>
  <si>
    <t xml:space="preserve">FEI-S078</t>
  </si>
  <si>
    <t xml:space="preserve">FEI-S079</t>
  </si>
  <si>
    <t xml:space="preserve">FEI-S080</t>
  </si>
  <si>
    <t xml:space="preserve">FEI-S081</t>
  </si>
  <si>
    <t xml:space="preserve">FEI-S082</t>
  </si>
  <si>
    <t xml:space="preserve">FEI-S083</t>
  </si>
  <si>
    <t xml:space="preserve">FEI-S084</t>
  </si>
  <si>
    <t xml:space="preserve">FEI-S085</t>
  </si>
  <si>
    <t xml:space="preserve">FEI-S086</t>
  </si>
  <si>
    <t xml:space="preserve">FEI-S087</t>
  </si>
  <si>
    <t xml:space="preserve">FEI-S088</t>
  </si>
  <si>
    <t xml:space="preserve">FEI-S089</t>
  </si>
  <si>
    <t xml:space="preserve">FEI-S090</t>
  </si>
  <si>
    <t xml:space="preserve">FEI-S091</t>
  </si>
  <si>
    <t xml:space="preserve">FEI-S092</t>
  </si>
  <si>
    <t xml:space="preserve">FEI-S093</t>
  </si>
  <si>
    <t xml:space="preserve">FEI-S094</t>
  </si>
  <si>
    <t xml:space="preserve">FEI-S095</t>
  </si>
  <si>
    <t xml:space="preserve">FEI-S096</t>
  </si>
  <si>
    <t xml:space="preserve">FEI-S097</t>
  </si>
  <si>
    <t xml:space="preserve">FEI-S098</t>
  </si>
  <si>
    <t xml:space="preserve">FEI-S099</t>
  </si>
  <si>
    <t xml:space="preserve">FEI-S100</t>
  </si>
  <si>
    <t xml:space="preserve">⬢  CEMP  ·  Inova  —  Problemas</t>
  </si>
  <si>
    <t xml:space="preserve">INO-P001</t>
  </si>
  <si>
    <t xml:space="preserve">[EXEMPLO] Baixa continuidade dos projetos após o hackathon</t>
  </si>
  <si>
    <t xml:space="preserve">As equipes entregam o protótipo no evento, mas poucas seguem desenvolvendo a ideia depois.</t>
  </si>
  <si>
    <t xml:space="preserve">Conteúdo e metodologia</t>
  </si>
  <si>
    <t xml:space="preserve">Risco potencial</t>
  </si>
  <si>
    <t xml:space="preserve">Pós-hackathon</t>
  </si>
  <si>
    <t xml:space="preserve">Acompanhar quantas equipes seguem ativas 30 dias depois.</t>
  </si>
  <si>
    <t xml:space="preserve">Pesquisa e Desenvolvimento</t>
  </si>
  <si>
    <t xml:space="preserve">INO-P002</t>
  </si>
  <si>
    <t xml:space="preserve">INO-P003</t>
  </si>
  <si>
    <t xml:space="preserve">INO-P004</t>
  </si>
  <si>
    <t xml:space="preserve">INO-P005</t>
  </si>
  <si>
    <t xml:space="preserve">INO-P006</t>
  </si>
  <si>
    <t xml:space="preserve">INO-P007</t>
  </si>
  <si>
    <t xml:space="preserve">INO-P008</t>
  </si>
  <si>
    <t xml:space="preserve">INO-P009</t>
  </si>
  <si>
    <t xml:space="preserve">INO-P010</t>
  </si>
  <si>
    <t xml:space="preserve">INO-P011</t>
  </si>
  <si>
    <t xml:space="preserve">INO-P012</t>
  </si>
  <si>
    <t xml:space="preserve">INO-P013</t>
  </si>
  <si>
    <t xml:space="preserve">INO-P014</t>
  </si>
  <si>
    <t xml:space="preserve">INO-P015</t>
  </si>
  <si>
    <t xml:space="preserve">INO-P016</t>
  </si>
  <si>
    <t xml:space="preserve">INO-P017</t>
  </si>
  <si>
    <t xml:space="preserve">INO-P018</t>
  </si>
  <si>
    <t xml:space="preserve">INO-P019</t>
  </si>
  <si>
    <t xml:space="preserve">INO-P020</t>
  </si>
  <si>
    <t xml:space="preserve">INO-P021</t>
  </si>
  <si>
    <t xml:space="preserve">INO-P022</t>
  </si>
  <si>
    <t xml:space="preserve">INO-P023</t>
  </si>
  <si>
    <t xml:space="preserve">INO-P024</t>
  </si>
  <si>
    <t xml:space="preserve">INO-P025</t>
  </si>
  <si>
    <t xml:space="preserve">INO-P026</t>
  </si>
  <si>
    <t xml:space="preserve">INO-P027</t>
  </si>
  <si>
    <t xml:space="preserve">INO-P028</t>
  </si>
  <si>
    <t xml:space="preserve">INO-P029</t>
  </si>
  <si>
    <t xml:space="preserve">INO-P030</t>
  </si>
  <si>
    <t xml:space="preserve">INO-P031</t>
  </si>
  <si>
    <t xml:space="preserve">INO-P032</t>
  </si>
  <si>
    <t xml:space="preserve">INO-P033</t>
  </si>
  <si>
    <t xml:space="preserve">INO-P034</t>
  </si>
  <si>
    <t xml:space="preserve">INO-P035</t>
  </si>
  <si>
    <t xml:space="preserve">INO-P036</t>
  </si>
  <si>
    <t xml:space="preserve">INO-P037</t>
  </si>
  <si>
    <t xml:space="preserve">INO-P038</t>
  </si>
  <si>
    <t xml:space="preserve">INO-P039</t>
  </si>
  <si>
    <t xml:space="preserve">INO-P040</t>
  </si>
  <si>
    <t xml:space="preserve">INO-P041</t>
  </si>
  <si>
    <t xml:space="preserve">INO-P042</t>
  </si>
  <si>
    <t xml:space="preserve">INO-P043</t>
  </si>
  <si>
    <t xml:space="preserve">INO-P044</t>
  </si>
  <si>
    <t xml:space="preserve">INO-P045</t>
  </si>
  <si>
    <t xml:space="preserve">INO-P046</t>
  </si>
  <si>
    <t xml:space="preserve">INO-P047</t>
  </si>
  <si>
    <t xml:space="preserve">INO-P048</t>
  </si>
  <si>
    <t xml:space="preserve">INO-P049</t>
  </si>
  <si>
    <t xml:space="preserve">INO-P050</t>
  </si>
  <si>
    <t xml:space="preserve">INO-P051</t>
  </si>
  <si>
    <t xml:space="preserve">INO-P052</t>
  </si>
  <si>
    <t xml:space="preserve">INO-P053</t>
  </si>
  <si>
    <t xml:space="preserve">INO-P054</t>
  </si>
  <si>
    <t xml:space="preserve">INO-P055</t>
  </si>
  <si>
    <t xml:space="preserve">INO-P056</t>
  </si>
  <si>
    <t xml:space="preserve">INO-P057</t>
  </si>
  <si>
    <t xml:space="preserve">INO-P058</t>
  </si>
  <si>
    <t xml:space="preserve">INO-P059</t>
  </si>
  <si>
    <t xml:space="preserve">INO-P060</t>
  </si>
  <si>
    <t xml:space="preserve">INO-P061</t>
  </si>
  <si>
    <t xml:space="preserve">INO-P062</t>
  </si>
  <si>
    <t xml:space="preserve">INO-P063</t>
  </si>
  <si>
    <t xml:space="preserve">INO-P064</t>
  </si>
  <si>
    <t xml:space="preserve">INO-P065</t>
  </si>
  <si>
    <t xml:space="preserve">INO-P066</t>
  </si>
  <si>
    <t xml:space="preserve">INO-P067</t>
  </si>
  <si>
    <t xml:space="preserve">INO-P068</t>
  </si>
  <si>
    <t xml:space="preserve">INO-P069</t>
  </si>
  <si>
    <t xml:space="preserve">INO-P070</t>
  </si>
  <si>
    <t xml:space="preserve">INO-P071</t>
  </si>
  <si>
    <t xml:space="preserve">INO-P072</t>
  </si>
  <si>
    <t xml:space="preserve">INO-P073</t>
  </si>
  <si>
    <t xml:space="preserve">INO-P074</t>
  </si>
  <si>
    <t xml:space="preserve">INO-P075</t>
  </si>
  <si>
    <t xml:space="preserve">INO-P076</t>
  </si>
  <si>
    <t xml:space="preserve">INO-P077</t>
  </si>
  <si>
    <t xml:space="preserve">INO-P078</t>
  </si>
  <si>
    <t xml:space="preserve">INO-P079</t>
  </si>
  <si>
    <t xml:space="preserve">INO-P080</t>
  </si>
  <si>
    <t xml:space="preserve">INO-P081</t>
  </si>
  <si>
    <t xml:space="preserve">INO-P082</t>
  </si>
  <si>
    <t xml:space="preserve">INO-P083</t>
  </si>
  <si>
    <t xml:space="preserve">INO-P084</t>
  </si>
  <si>
    <t xml:space="preserve">INO-P085</t>
  </si>
  <si>
    <t xml:space="preserve">INO-P086</t>
  </si>
  <si>
    <t xml:space="preserve">INO-P087</t>
  </si>
  <si>
    <t xml:space="preserve">INO-P088</t>
  </si>
  <si>
    <t xml:space="preserve">INO-P089</t>
  </si>
  <si>
    <t xml:space="preserve">INO-P090</t>
  </si>
  <si>
    <t xml:space="preserve">INO-P091</t>
  </si>
  <si>
    <t xml:space="preserve">INO-P092</t>
  </si>
  <si>
    <t xml:space="preserve">INO-P093</t>
  </si>
  <si>
    <t xml:space="preserve">INO-P094</t>
  </si>
  <si>
    <t xml:space="preserve">INO-P095</t>
  </si>
  <si>
    <t xml:space="preserve">INO-P096</t>
  </si>
  <si>
    <t xml:space="preserve">INO-P097</t>
  </si>
  <si>
    <t xml:space="preserve">INO-P098</t>
  </si>
  <si>
    <t xml:space="preserve">INO-P099</t>
  </si>
  <si>
    <t xml:space="preserve">INO-P100</t>
  </si>
  <si>
    <t xml:space="preserve">⬢  CEMP  ·  Inova  —  Soluções</t>
  </si>
  <si>
    <t xml:space="preserve">INO-S001</t>
  </si>
  <si>
    <t xml:space="preserve">[EXEMPLO] Trilha pós-hackathon (30/60/90 dias)</t>
  </si>
  <si>
    <t xml:space="preserve">INO-P001 · [EXEMPLO] Baixa continuidade dos projetos após o hackathon</t>
  </si>
  <si>
    <t xml:space="preserve">Programa de acompanhamento das melhores equipes após o evento, com mentorias e um demo day de retorno.</t>
  </si>
  <si>
    <t xml:space="preserve">1) Selecionar as equipes com maior potencial.
2) Conectar cada equipe a um mentor.
3) Fazer check-ins em 30, 60 e 90 dias.
4) Encerrar com um demo day.</t>
  </si>
  <si>
    <t xml:space="preserve">Rede de mentores + espaço para o demo day</t>
  </si>
  <si>
    <t xml:space="preserve">[Dado ilustrativo] Registre aqui quantas equipes seguiram ativas na experiência da fonte.</t>
  </si>
  <si>
    <t xml:space="preserve">INO-S002</t>
  </si>
  <si>
    <t xml:space="preserve">INO-S003</t>
  </si>
  <si>
    <t xml:space="preserve">INO-S004</t>
  </si>
  <si>
    <t xml:space="preserve">INO-S005</t>
  </si>
  <si>
    <t xml:space="preserve">INO-S006</t>
  </si>
  <si>
    <t xml:space="preserve">INO-S007</t>
  </si>
  <si>
    <t xml:space="preserve">INO-S008</t>
  </si>
  <si>
    <t xml:space="preserve">INO-S009</t>
  </si>
  <si>
    <t xml:space="preserve">INO-S010</t>
  </si>
  <si>
    <t xml:space="preserve">INO-S011</t>
  </si>
  <si>
    <t xml:space="preserve">INO-S012</t>
  </si>
  <si>
    <t xml:space="preserve">INO-S013</t>
  </si>
  <si>
    <t xml:space="preserve">INO-S014</t>
  </si>
  <si>
    <t xml:space="preserve">INO-S015</t>
  </si>
  <si>
    <t xml:space="preserve">INO-S016</t>
  </si>
  <si>
    <t xml:space="preserve">INO-S017</t>
  </si>
  <si>
    <t xml:space="preserve">INO-S018</t>
  </si>
  <si>
    <t xml:space="preserve">INO-S019</t>
  </si>
  <si>
    <t xml:space="preserve">INO-S020</t>
  </si>
  <si>
    <t xml:space="preserve">INO-S021</t>
  </si>
  <si>
    <t xml:space="preserve">INO-S022</t>
  </si>
  <si>
    <t xml:space="preserve">INO-S023</t>
  </si>
  <si>
    <t xml:space="preserve">INO-S024</t>
  </si>
  <si>
    <t xml:space="preserve">INO-S025</t>
  </si>
  <si>
    <t xml:space="preserve">INO-S026</t>
  </si>
  <si>
    <t xml:space="preserve">INO-S027</t>
  </si>
  <si>
    <t xml:space="preserve">INO-S028</t>
  </si>
  <si>
    <t xml:space="preserve">INO-S029</t>
  </si>
  <si>
    <t xml:space="preserve">INO-S030</t>
  </si>
  <si>
    <t xml:space="preserve">INO-S031</t>
  </si>
  <si>
    <t xml:space="preserve">INO-S032</t>
  </si>
  <si>
    <t xml:space="preserve">INO-S033</t>
  </si>
  <si>
    <t xml:space="preserve">INO-S034</t>
  </si>
  <si>
    <t xml:space="preserve">INO-S035</t>
  </si>
  <si>
    <t xml:space="preserve">INO-S036</t>
  </si>
  <si>
    <t xml:space="preserve">INO-S037</t>
  </si>
  <si>
    <t xml:space="preserve">INO-S038</t>
  </si>
  <si>
    <t xml:space="preserve">INO-S039</t>
  </si>
  <si>
    <t xml:space="preserve">INO-S040</t>
  </si>
  <si>
    <t xml:space="preserve">INO-S041</t>
  </si>
  <si>
    <t xml:space="preserve">INO-S042</t>
  </si>
  <si>
    <t xml:space="preserve">INO-S043</t>
  </si>
  <si>
    <t xml:space="preserve">INO-S044</t>
  </si>
  <si>
    <t xml:space="preserve">INO-S045</t>
  </si>
  <si>
    <t xml:space="preserve">INO-S046</t>
  </si>
  <si>
    <t xml:space="preserve">INO-S047</t>
  </si>
  <si>
    <t xml:space="preserve">INO-S048</t>
  </si>
  <si>
    <t xml:space="preserve">INO-S049</t>
  </si>
  <si>
    <t xml:space="preserve">INO-S050</t>
  </si>
  <si>
    <t xml:space="preserve">INO-S051</t>
  </si>
  <si>
    <t xml:space="preserve">INO-S052</t>
  </si>
  <si>
    <t xml:space="preserve">INO-S053</t>
  </si>
  <si>
    <t xml:space="preserve">INO-S054</t>
  </si>
  <si>
    <t xml:space="preserve">INO-S055</t>
  </si>
  <si>
    <t xml:space="preserve">INO-S056</t>
  </si>
  <si>
    <t xml:space="preserve">INO-S057</t>
  </si>
  <si>
    <t xml:space="preserve">INO-S058</t>
  </si>
  <si>
    <t xml:space="preserve">INO-S059</t>
  </si>
  <si>
    <t xml:space="preserve">INO-S060</t>
  </si>
  <si>
    <t xml:space="preserve">INO-S061</t>
  </si>
  <si>
    <t xml:space="preserve">INO-S062</t>
  </si>
  <si>
    <t xml:space="preserve">INO-S063</t>
  </si>
  <si>
    <t xml:space="preserve">INO-S064</t>
  </si>
  <si>
    <t xml:space="preserve">INO-S065</t>
  </si>
  <si>
    <t xml:space="preserve">INO-S066</t>
  </si>
  <si>
    <t xml:space="preserve">INO-S067</t>
  </si>
  <si>
    <t xml:space="preserve">INO-S068</t>
  </si>
  <si>
    <t xml:space="preserve">INO-S069</t>
  </si>
  <si>
    <t xml:space="preserve">INO-S070</t>
  </si>
  <si>
    <t xml:space="preserve">INO-S071</t>
  </si>
  <si>
    <t xml:space="preserve">INO-S072</t>
  </si>
  <si>
    <t xml:space="preserve">INO-S073</t>
  </si>
  <si>
    <t xml:space="preserve">INO-S074</t>
  </si>
  <si>
    <t xml:space="preserve">INO-S075</t>
  </si>
  <si>
    <t xml:space="preserve">INO-S076</t>
  </si>
  <si>
    <t xml:space="preserve">INO-S077</t>
  </si>
  <si>
    <t xml:space="preserve">INO-S078</t>
  </si>
  <si>
    <t xml:space="preserve">INO-S079</t>
  </si>
  <si>
    <t xml:space="preserve">INO-S080</t>
  </si>
  <si>
    <t xml:space="preserve">INO-S081</t>
  </si>
  <si>
    <t xml:space="preserve">INO-S082</t>
  </si>
  <si>
    <t xml:space="preserve">INO-S083</t>
  </si>
  <si>
    <t xml:space="preserve">INO-S084</t>
  </si>
  <si>
    <t xml:space="preserve">INO-S085</t>
  </si>
  <si>
    <t xml:space="preserve">INO-S086</t>
  </si>
  <si>
    <t xml:space="preserve">INO-S087</t>
  </si>
  <si>
    <t xml:space="preserve">INO-S088</t>
  </si>
  <si>
    <t xml:space="preserve">INO-S089</t>
  </si>
  <si>
    <t xml:space="preserve">INO-S090</t>
  </si>
  <si>
    <t xml:space="preserve">INO-S091</t>
  </si>
  <si>
    <t xml:space="preserve">INO-S092</t>
  </si>
  <si>
    <t xml:space="preserve">INO-S093</t>
  </si>
  <si>
    <t xml:space="preserve">INO-S094</t>
  </si>
  <si>
    <t xml:space="preserve">INO-S095</t>
  </si>
  <si>
    <t xml:space="preserve">INO-S096</t>
  </si>
  <si>
    <t xml:space="preserve">INO-S097</t>
  </si>
  <si>
    <t xml:space="preserve">INO-S098</t>
  </si>
  <si>
    <t xml:space="preserve">INO-S099</t>
  </si>
  <si>
    <t xml:space="preserve">INO-S100</t>
  </si>
  <si>
    <t xml:space="preserve">⬢  CEMP  ·  Sensibilizando  —  Problemas</t>
  </si>
  <si>
    <t xml:space="preserve">SEN-P001</t>
  </si>
  <si>
    <t xml:space="preserve">[EXEMPLO] Dificuldade de agendar atividades com escolas</t>
  </si>
  <si>
    <t xml:space="preserve">O contato com a direção das escolas é demorado e o calendário escolar limita as datas.</t>
  </si>
  <si>
    <t xml:space="preserve">Parcerias e networking</t>
  </si>
  <si>
    <t xml:space="preserve">Contato inicial com a escola</t>
  </si>
  <si>
    <t xml:space="preserve">Registrar tempo entre o 1º contato e a confirmação da visita.</t>
  </si>
  <si>
    <t xml:space="preserve">SEN-P002</t>
  </si>
  <si>
    <t xml:space="preserve">SEN-P003</t>
  </si>
  <si>
    <t xml:space="preserve">SEN-P004</t>
  </si>
  <si>
    <t xml:space="preserve">SEN-P005</t>
  </si>
  <si>
    <t xml:space="preserve">SEN-P006</t>
  </si>
  <si>
    <t xml:space="preserve">SEN-P007</t>
  </si>
  <si>
    <t xml:space="preserve">SEN-P008</t>
  </si>
  <si>
    <t xml:space="preserve">SEN-P009</t>
  </si>
  <si>
    <t xml:space="preserve">SEN-P010</t>
  </si>
  <si>
    <t xml:space="preserve">SEN-P011</t>
  </si>
  <si>
    <t xml:space="preserve">SEN-P012</t>
  </si>
  <si>
    <t xml:space="preserve">SEN-P013</t>
  </si>
  <si>
    <t xml:space="preserve">SEN-P014</t>
  </si>
  <si>
    <t xml:space="preserve">SEN-P015</t>
  </si>
  <si>
    <t xml:space="preserve">SEN-P016</t>
  </si>
  <si>
    <t xml:space="preserve">SEN-P017</t>
  </si>
  <si>
    <t xml:space="preserve">SEN-P018</t>
  </si>
  <si>
    <t xml:space="preserve">SEN-P019</t>
  </si>
  <si>
    <t xml:space="preserve">SEN-P020</t>
  </si>
  <si>
    <t xml:space="preserve">SEN-P021</t>
  </si>
  <si>
    <t xml:space="preserve">SEN-P022</t>
  </si>
  <si>
    <t xml:space="preserve">SEN-P023</t>
  </si>
  <si>
    <t xml:space="preserve">SEN-P024</t>
  </si>
  <si>
    <t xml:space="preserve">SEN-P025</t>
  </si>
  <si>
    <t xml:space="preserve">SEN-P026</t>
  </si>
  <si>
    <t xml:space="preserve">SEN-P027</t>
  </si>
  <si>
    <t xml:space="preserve">SEN-P028</t>
  </si>
  <si>
    <t xml:space="preserve">SEN-P029</t>
  </si>
  <si>
    <t xml:space="preserve">SEN-P030</t>
  </si>
  <si>
    <t xml:space="preserve">SEN-P031</t>
  </si>
  <si>
    <t xml:space="preserve">SEN-P032</t>
  </si>
  <si>
    <t xml:space="preserve">SEN-P033</t>
  </si>
  <si>
    <t xml:space="preserve">SEN-P034</t>
  </si>
  <si>
    <t xml:space="preserve">SEN-P035</t>
  </si>
  <si>
    <t xml:space="preserve">SEN-P036</t>
  </si>
  <si>
    <t xml:space="preserve">SEN-P037</t>
  </si>
  <si>
    <t xml:space="preserve">SEN-P038</t>
  </si>
  <si>
    <t xml:space="preserve">SEN-P039</t>
  </si>
  <si>
    <t xml:space="preserve">SEN-P040</t>
  </si>
  <si>
    <t xml:space="preserve">SEN-P041</t>
  </si>
  <si>
    <t xml:space="preserve">SEN-P042</t>
  </si>
  <si>
    <t xml:space="preserve">SEN-P043</t>
  </si>
  <si>
    <t xml:space="preserve">SEN-P044</t>
  </si>
  <si>
    <t xml:space="preserve">SEN-P045</t>
  </si>
  <si>
    <t xml:space="preserve">SEN-P046</t>
  </si>
  <si>
    <t xml:space="preserve">SEN-P047</t>
  </si>
  <si>
    <t xml:space="preserve">SEN-P048</t>
  </si>
  <si>
    <t xml:space="preserve">SEN-P049</t>
  </si>
  <si>
    <t xml:space="preserve">SEN-P050</t>
  </si>
  <si>
    <t xml:space="preserve">SEN-P051</t>
  </si>
  <si>
    <t xml:space="preserve">SEN-P052</t>
  </si>
  <si>
    <t xml:space="preserve">SEN-P053</t>
  </si>
  <si>
    <t xml:space="preserve">SEN-P054</t>
  </si>
  <si>
    <t xml:space="preserve">SEN-P055</t>
  </si>
  <si>
    <t xml:space="preserve">SEN-P056</t>
  </si>
  <si>
    <t xml:space="preserve">SEN-P057</t>
  </si>
  <si>
    <t xml:space="preserve">SEN-P058</t>
  </si>
  <si>
    <t xml:space="preserve">SEN-P059</t>
  </si>
  <si>
    <t xml:space="preserve">SEN-P060</t>
  </si>
  <si>
    <t xml:space="preserve">SEN-P061</t>
  </si>
  <si>
    <t xml:space="preserve">SEN-P062</t>
  </si>
  <si>
    <t xml:space="preserve">SEN-P063</t>
  </si>
  <si>
    <t xml:space="preserve">SEN-P064</t>
  </si>
  <si>
    <t xml:space="preserve">SEN-P065</t>
  </si>
  <si>
    <t xml:space="preserve">SEN-P066</t>
  </si>
  <si>
    <t xml:space="preserve">SEN-P067</t>
  </si>
  <si>
    <t xml:space="preserve">SEN-P068</t>
  </si>
  <si>
    <t xml:space="preserve">SEN-P069</t>
  </si>
  <si>
    <t xml:space="preserve">SEN-P070</t>
  </si>
  <si>
    <t xml:space="preserve">SEN-P071</t>
  </si>
  <si>
    <t xml:space="preserve">SEN-P072</t>
  </si>
  <si>
    <t xml:space="preserve">SEN-P073</t>
  </si>
  <si>
    <t xml:space="preserve">SEN-P074</t>
  </si>
  <si>
    <t xml:space="preserve">SEN-P075</t>
  </si>
  <si>
    <t xml:space="preserve">SEN-P076</t>
  </si>
  <si>
    <t xml:space="preserve">SEN-P077</t>
  </si>
  <si>
    <t xml:space="preserve">SEN-P078</t>
  </si>
  <si>
    <t xml:space="preserve">SEN-P079</t>
  </si>
  <si>
    <t xml:space="preserve">SEN-P080</t>
  </si>
  <si>
    <t xml:space="preserve">SEN-P081</t>
  </si>
  <si>
    <t xml:space="preserve">SEN-P082</t>
  </si>
  <si>
    <t xml:space="preserve">SEN-P083</t>
  </si>
  <si>
    <t xml:space="preserve">SEN-P084</t>
  </si>
  <si>
    <t xml:space="preserve">SEN-P085</t>
  </si>
  <si>
    <t xml:space="preserve">SEN-P086</t>
  </si>
  <si>
    <t xml:space="preserve">SEN-P087</t>
  </si>
  <si>
    <t xml:space="preserve">SEN-P088</t>
  </si>
  <si>
    <t xml:space="preserve">SEN-P089</t>
  </si>
  <si>
    <t xml:space="preserve">SEN-P090</t>
  </si>
  <si>
    <t xml:space="preserve">SEN-P091</t>
  </si>
  <si>
    <t xml:space="preserve">SEN-P092</t>
  </si>
  <si>
    <t xml:space="preserve">SEN-P093</t>
  </si>
  <si>
    <t xml:space="preserve">SEN-P094</t>
  </si>
  <si>
    <t xml:space="preserve">SEN-P095</t>
  </si>
  <si>
    <t xml:space="preserve">SEN-P096</t>
  </si>
  <si>
    <t xml:space="preserve">SEN-P097</t>
  </si>
  <si>
    <t xml:space="preserve">SEN-P098</t>
  </si>
  <si>
    <t xml:space="preserve">SEN-P099</t>
  </si>
  <si>
    <t xml:space="preserve">SEN-P100</t>
  </si>
  <si>
    <t xml:space="preserve">⬢  CEMP  ·  Sensibilizando  —  Soluções</t>
  </si>
  <si>
    <t xml:space="preserve">SEN-S001</t>
  </si>
  <si>
    <t xml:space="preserve">[EXEMPLO] Kit de aula replicável para escolas</t>
  </si>
  <si>
    <t xml:space="preserve">SEN-P001 · [EXEMPLO] Dificuldade de agendar atividades com escolas</t>
  </si>
  <si>
    <t xml:space="preserve">Roteiro padronizado de atividade com slides, dinâmica e material impresso, aplicável por qualquer membro treinado.</t>
  </si>
  <si>
    <t xml:space="preserve">1) Definir o roteiro de 50 minutos.
2) Produzir slides e material impresso.
3) Treinar os membros que vão às escolas.
4) Coletar feedback dos alunos ao final.</t>
  </si>
  <si>
    <t xml:space="preserve">Material impresso + treinamento de 2h</t>
  </si>
  <si>
    <t xml:space="preserve">[Dado ilustrativo] Registre aqui nº de escolas/alunos atendidos pela fonte.</t>
  </si>
  <si>
    <t xml:space="preserve">SEN-S002</t>
  </si>
  <si>
    <t xml:space="preserve">SEN-S003</t>
  </si>
  <si>
    <t xml:space="preserve">SEN-S004</t>
  </si>
  <si>
    <t xml:space="preserve">SEN-S005</t>
  </si>
  <si>
    <t xml:space="preserve">SEN-S006</t>
  </si>
  <si>
    <t xml:space="preserve">SEN-S007</t>
  </si>
  <si>
    <t xml:space="preserve">SEN-S008</t>
  </si>
  <si>
    <t xml:space="preserve">SEN-S009</t>
  </si>
  <si>
    <t xml:space="preserve">SEN-S010</t>
  </si>
  <si>
    <t xml:space="preserve">SEN-S011</t>
  </si>
  <si>
    <t xml:space="preserve">SEN-S012</t>
  </si>
  <si>
    <t xml:space="preserve">SEN-S013</t>
  </si>
  <si>
    <t xml:space="preserve">SEN-S014</t>
  </si>
  <si>
    <t xml:space="preserve">SEN-S015</t>
  </si>
  <si>
    <t xml:space="preserve">SEN-S016</t>
  </si>
  <si>
    <t xml:space="preserve">SEN-S017</t>
  </si>
  <si>
    <t xml:space="preserve">SEN-S018</t>
  </si>
  <si>
    <t xml:space="preserve">SEN-S019</t>
  </si>
  <si>
    <t xml:space="preserve">SEN-S020</t>
  </si>
  <si>
    <t xml:space="preserve">SEN-S021</t>
  </si>
  <si>
    <t xml:space="preserve">SEN-S022</t>
  </si>
  <si>
    <t xml:space="preserve">SEN-S023</t>
  </si>
  <si>
    <t xml:space="preserve">SEN-S024</t>
  </si>
  <si>
    <t xml:space="preserve">SEN-S025</t>
  </si>
  <si>
    <t xml:space="preserve">SEN-S026</t>
  </si>
  <si>
    <t xml:space="preserve">SEN-S027</t>
  </si>
  <si>
    <t xml:space="preserve">SEN-S028</t>
  </si>
  <si>
    <t xml:space="preserve">SEN-S029</t>
  </si>
  <si>
    <t xml:space="preserve">SEN-S030</t>
  </si>
  <si>
    <t xml:space="preserve">SEN-S031</t>
  </si>
  <si>
    <t xml:space="preserve">SEN-S032</t>
  </si>
  <si>
    <t xml:space="preserve">SEN-S033</t>
  </si>
  <si>
    <t xml:space="preserve">SEN-S034</t>
  </si>
  <si>
    <t xml:space="preserve">SEN-S035</t>
  </si>
  <si>
    <t xml:space="preserve">SEN-S036</t>
  </si>
  <si>
    <t xml:space="preserve">SEN-S037</t>
  </si>
  <si>
    <t xml:space="preserve">SEN-S038</t>
  </si>
  <si>
    <t xml:space="preserve">SEN-S039</t>
  </si>
  <si>
    <t xml:space="preserve">SEN-S040</t>
  </si>
  <si>
    <t xml:space="preserve">SEN-S041</t>
  </si>
  <si>
    <t xml:space="preserve">SEN-S042</t>
  </si>
  <si>
    <t xml:space="preserve">SEN-S043</t>
  </si>
  <si>
    <t xml:space="preserve">SEN-S044</t>
  </si>
  <si>
    <t xml:space="preserve">SEN-S045</t>
  </si>
  <si>
    <t xml:space="preserve">SEN-S046</t>
  </si>
  <si>
    <t xml:space="preserve">SEN-S047</t>
  </si>
  <si>
    <t xml:space="preserve">SEN-S048</t>
  </si>
  <si>
    <t xml:space="preserve">SEN-S049</t>
  </si>
  <si>
    <t xml:space="preserve">SEN-S050</t>
  </si>
  <si>
    <t xml:space="preserve">SEN-S051</t>
  </si>
  <si>
    <t xml:space="preserve">SEN-S052</t>
  </si>
  <si>
    <t xml:space="preserve">SEN-S053</t>
  </si>
  <si>
    <t xml:space="preserve">SEN-S054</t>
  </si>
  <si>
    <t xml:space="preserve">SEN-S055</t>
  </si>
  <si>
    <t xml:space="preserve">SEN-S056</t>
  </si>
  <si>
    <t xml:space="preserve">SEN-S057</t>
  </si>
  <si>
    <t xml:space="preserve">SEN-S058</t>
  </si>
  <si>
    <t xml:space="preserve">SEN-S059</t>
  </si>
  <si>
    <t xml:space="preserve">SEN-S060</t>
  </si>
  <si>
    <t xml:space="preserve">SEN-S061</t>
  </si>
  <si>
    <t xml:space="preserve">SEN-S062</t>
  </si>
  <si>
    <t xml:space="preserve">SEN-S063</t>
  </si>
  <si>
    <t xml:space="preserve">SEN-S064</t>
  </si>
  <si>
    <t xml:space="preserve">SEN-S065</t>
  </si>
  <si>
    <t xml:space="preserve">SEN-S066</t>
  </si>
  <si>
    <t xml:space="preserve">SEN-S067</t>
  </si>
  <si>
    <t xml:space="preserve">SEN-S068</t>
  </si>
  <si>
    <t xml:space="preserve">SEN-S069</t>
  </si>
  <si>
    <t xml:space="preserve">SEN-S070</t>
  </si>
  <si>
    <t xml:space="preserve">SEN-S071</t>
  </si>
  <si>
    <t xml:space="preserve">SEN-S072</t>
  </si>
  <si>
    <t xml:space="preserve">SEN-S073</t>
  </si>
  <si>
    <t xml:space="preserve">SEN-S074</t>
  </si>
  <si>
    <t xml:space="preserve">SEN-S075</t>
  </si>
  <si>
    <t xml:space="preserve">SEN-S076</t>
  </si>
  <si>
    <t xml:space="preserve">SEN-S077</t>
  </si>
  <si>
    <t xml:space="preserve">SEN-S078</t>
  </si>
  <si>
    <t xml:space="preserve">SEN-S079</t>
  </si>
  <si>
    <t xml:space="preserve">SEN-S080</t>
  </si>
  <si>
    <t xml:space="preserve">SEN-S081</t>
  </si>
  <si>
    <t xml:space="preserve">SEN-S082</t>
  </si>
  <si>
    <t xml:space="preserve">SEN-S083</t>
  </si>
  <si>
    <t xml:space="preserve">SEN-S084</t>
  </si>
  <si>
    <t xml:space="preserve">SEN-S085</t>
  </si>
  <si>
    <t xml:space="preserve">SEN-S086</t>
  </si>
  <si>
    <t xml:space="preserve">SEN-S087</t>
  </si>
  <si>
    <t xml:space="preserve">SEN-S088</t>
  </si>
  <si>
    <t xml:space="preserve">SEN-S089</t>
  </si>
  <si>
    <t xml:space="preserve">SEN-S090</t>
  </si>
  <si>
    <t xml:space="preserve">SEN-S091</t>
  </si>
  <si>
    <t xml:space="preserve">SEN-S092</t>
  </si>
  <si>
    <t xml:space="preserve">SEN-S093</t>
  </si>
  <si>
    <t xml:space="preserve">SEN-S094</t>
  </si>
  <si>
    <t xml:space="preserve">SEN-S095</t>
  </si>
  <si>
    <t xml:space="preserve">SEN-S096</t>
  </si>
  <si>
    <t xml:space="preserve">SEN-S097</t>
  </si>
  <si>
    <t xml:space="preserve">SEN-S098</t>
  </si>
  <si>
    <t xml:space="preserve">SEN-S099</t>
  </si>
  <si>
    <t xml:space="preserve">SEN-S100</t>
  </si>
  <si>
    <t xml:space="preserve">⬢  CEMP  ·  Listas (opções dos menus suspensos)</t>
  </si>
  <si>
    <t xml:space="preserve">Edite os itens para personalizar os menus. Para incluir um item novo, escreva na primeira célula vazia da coluna (sem pular linhas).</t>
  </si>
  <si>
    <t xml:space="preserve">Atenção: as fórmulas usam os itens Baixo/Médio/Alto, 'Ocorrendo hoje', 'Resolvido', 'Em implantação', 'Implantada' e 'Concluído'. Pode acrescentar itens, mas não renomeie esses.</t>
  </si>
  <si>
    <t xml:space="preserve">Categoria de problema</t>
  </si>
  <si>
    <t xml:space="preserve">Situação do problema</t>
  </si>
  <si>
    <t xml:space="preserve">Status do problema</t>
  </si>
  <si>
    <t xml:space="preserve">Diretorias (ajuste à estrutura real)</t>
  </si>
  <si>
    <t xml:space="preserve">Tipo de organização</t>
  </si>
  <si>
    <t xml:space="preserve">Baixo · Médio · Alto  (não renomear)</t>
  </si>
  <si>
    <t xml:space="preserve">Status da solução</t>
  </si>
  <si>
    <t xml:space="preserve">Formato da conversa</t>
  </si>
  <si>
    <t xml:space="preserve">Situação do próximo passo</t>
  </si>
  <si>
    <t xml:space="preserve">Projeto do CEMP</t>
  </si>
  <si>
    <t xml:space="preserve">Presidência</t>
  </si>
  <si>
    <t xml:space="preserve">Pendente</t>
  </si>
  <si>
    <t xml:space="preserve">Recrutamento e seleção</t>
  </si>
  <si>
    <t xml:space="preserve">Vice-presidência</t>
  </si>
  <si>
    <t xml:space="preserve">Projeto de extensão</t>
  </si>
  <si>
    <t xml:space="preserve">Evento / congresso</t>
  </si>
  <si>
    <t xml:space="preserve">Reunião presencial</t>
  </si>
  <si>
    <t xml:space="preserve">Comunicação e marketing</t>
  </si>
  <si>
    <t xml:space="preserve">Núcleo / centro de empreendedorismo</t>
  </si>
  <si>
    <t xml:space="preserve">Redes sociais</t>
  </si>
  <si>
    <t xml:space="preserve">WhatsApp / mensagem</t>
  </si>
  <si>
    <t xml:space="preserve">Concluído</t>
  </si>
  <si>
    <t xml:space="preserve">Feira de Empreendedorismo</t>
  </si>
  <si>
    <t xml:space="preserve">Solução em teste</t>
  </si>
  <si>
    <t xml:space="preserve">Empresa / startup</t>
  </si>
  <si>
    <t xml:space="preserve">Site / relatório</t>
  </si>
  <si>
    <t xml:space="preserve">E-mail</t>
  </si>
  <si>
    <t xml:space="preserve">Inova (hackathons)</t>
  </si>
  <si>
    <t xml:space="preserve">Resolvido</t>
  </si>
  <si>
    <t xml:space="preserve">Marketing</t>
  </si>
  <si>
    <t xml:space="preserve">Incubadora / aceleradora</t>
  </si>
  <si>
    <t xml:space="preserve">Indicação</t>
  </si>
  <si>
    <t xml:space="preserve">Evento</t>
  </si>
  <si>
    <t xml:space="preserve">Sensibilizando (escolas)</t>
  </si>
  <si>
    <t xml:space="preserve">Logística e operação</t>
  </si>
  <si>
    <t xml:space="preserve">Arquivado</t>
  </si>
  <si>
    <t xml:space="preserve">Instituição de ensino</t>
  </si>
  <si>
    <t xml:space="preserve">Artigo / livro</t>
  </si>
  <si>
    <t xml:space="preserve">Visita</t>
  </si>
  <si>
    <t xml:space="preserve">Vários projetos</t>
  </si>
  <si>
    <t xml:space="preserve">Processos e governança</t>
  </si>
  <si>
    <t xml:space="preserve">Financeiro</t>
  </si>
  <si>
    <t xml:space="preserve">ONG / associação</t>
  </si>
  <si>
    <t xml:space="preserve">Parceria existente</t>
  </si>
  <si>
    <t xml:space="preserve">Outro</t>
  </si>
  <si>
    <t xml:space="preserve">Tecnologia e ferramentas</t>
  </si>
  <si>
    <t xml:space="preserve">Órgão público</t>
  </si>
  <si>
    <t xml:space="preserve">Mensuração de impacto</t>
  </si>
  <si>
    <t xml:space="preserve">Outros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</si>
</sst>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dd/mm/yyyy"/>
    <numFmt numFmtId="168" formatCode="&quot;R$ &quot;#,##0.0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sz val="11"/>
      <color rgb="FFFFC48A"/>
      <name val="Arial"/>
      <family val="0"/>
      <charset val="1"/>
    </font>
    <font>
      <b val="true"/>
      <sz val="12"/>
      <color rgb="FFD9600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u val="single"/>
      <sz val="10"/>
      <color rgb="FF1B1F3B"/>
      <name val="Arial"/>
      <family val="0"/>
      <charset val="1"/>
    </font>
    <font>
      <sz val="10"/>
      <color rgb="FF2B2F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B2F45"/>
      <name val="Arial"/>
      <family val="0"/>
      <charset val="1"/>
    </font>
    <font>
      <b val="true"/>
      <i val="true"/>
      <sz val="10"/>
      <color rgb="FF4A5068"/>
      <name val="Arial"/>
      <family val="0"/>
      <charset val="1"/>
    </font>
    <font>
      <b val="true"/>
      <i val="true"/>
      <sz val="10"/>
      <color rgb="FF2B2F45"/>
      <name val="Arial"/>
      <family val="0"/>
      <charset val="1"/>
    </font>
    <font>
      <b val="true"/>
      <i val="true"/>
      <sz val="10"/>
      <color rgb="FF9AA0B4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10"/>
      <color rgb="FFFFC48A"/>
      <name val="Arial"/>
      <family val="0"/>
      <charset val="1"/>
    </font>
    <font>
      <b val="true"/>
      <u val="single"/>
      <sz val="9"/>
      <color rgb="FF1B1F3B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3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2B2F4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2B2F45"/>
      <name val="Arial"/>
      <family val="0"/>
      <charset val="1"/>
    </font>
    <font>
      <i val="true"/>
      <sz val="9"/>
      <color rgb="FF6B7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7"/>
      <color rgb="FFFFFFFF"/>
      <name val="Arial"/>
      <family val="0"/>
      <charset val="1"/>
    </font>
    <font>
      <i val="true"/>
      <sz val="9"/>
      <color rgb="FFE9E4F5"/>
      <name val="Arial"/>
      <family val="0"/>
      <charset val="1"/>
    </font>
    <font>
      <b val="true"/>
      <sz val="9"/>
      <color rgb="FF9AA0B4"/>
      <name val="Arial"/>
      <family val="0"/>
      <charset val="1"/>
    </font>
    <font>
      <i val="true"/>
      <sz val="10"/>
      <color rgb="FF2B2F45"/>
      <name val="Arial"/>
      <family val="0"/>
      <charset val="1"/>
    </font>
    <font>
      <i val="true"/>
      <sz val="9"/>
      <color rgb="FF4A5068"/>
      <name val="Arial"/>
      <family val="0"/>
      <charset val="1"/>
    </font>
    <font>
      <i val="true"/>
      <sz val="8"/>
      <color rgb="FF4A5068"/>
      <name val="Arial"/>
      <family val="0"/>
      <charset val="1"/>
    </font>
    <font>
      <sz val="10"/>
      <name val="Arial"/>
      <family val="2"/>
    </font>
    <font>
      <b val="true"/>
      <sz val="9"/>
      <color rgb="FFD64545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B1F3B"/>
        <bgColor rgb="FF2B2F45"/>
      </patternFill>
    </fill>
    <fill>
      <patternFill patternType="solid">
        <fgColor rgb="FFF47C20"/>
        <bgColor rgb="FFD9600F"/>
      </patternFill>
    </fill>
    <fill>
      <patternFill patternType="solid">
        <fgColor rgb="FF1F9C9E"/>
        <bgColor rgb="FF008080"/>
      </patternFill>
    </fill>
    <fill>
      <patternFill patternType="solid">
        <fgColor rgb="FF6A2C91"/>
        <bgColor rgb="FF4A4F6B"/>
      </patternFill>
    </fill>
    <fill>
      <patternFill patternType="solid">
        <fgColor rgb="FFFDE7D3"/>
        <bgColor rgb="FFFFF0C2"/>
      </patternFill>
    </fill>
    <fill>
      <patternFill patternType="solid">
        <fgColor rgb="FFFFFFFF"/>
        <bgColor rgb="FFFFF8F0"/>
      </patternFill>
    </fill>
    <fill>
      <patternFill patternType="solid">
        <fgColor rgb="FF0F6E70"/>
        <bgColor rgb="FF008080"/>
      </patternFill>
    </fill>
    <fill>
      <patternFill patternType="solid">
        <fgColor rgb="FFFFF8F0"/>
        <bgColor rgb="FFFFFFFF"/>
      </patternFill>
    </fill>
    <fill>
      <patternFill patternType="solid">
        <fgColor rgb="FF3B4A9B"/>
        <bgColor rgb="FF4A4F6B"/>
      </patternFill>
    </fill>
    <fill>
      <patternFill patternType="solid">
        <fgColor rgb="FFC98A00"/>
        <bgColor rgb="FFE0A100"/>
      </patternFill>
    </fill>
    <fill>
      <patternFill patternType="solid">
        <fgColor rgb="FF8A90A6"/>
        <bgColor rgb="FF878787"/>
      </patternFill>
    </fill>
    <fill>
      <patternFill patternType="solid">
        <fgColor rgb="FFD64545"/>
        <bgColor rgb="FFD9600F"/>
      </patternFill>
    </fill>
    <fill>
      <patternFill patternType="solid">
        <fgColor rgb="FFE0A100"/>
        <bgColor rgb="FFC98A00"/>
      </patternFill>
    </fill>
    <fill>
      <patternFill patternType="solid">
        <fgColor rgb="FFE8F1F3"/>
        <bgColor rgb="FFECEEF3"/>
      </patternFill>
    </fill>
    <fill>
      <patternFill patternType="solid">
        <fgColor rgb="FFFFF3C4"/>
        <bgColor rgb="FFFFF0C2"/>
      </patternFill>
    </fill>
    <fill>
      <patternFill patternType="solid">
        <fgColor rgb="FFD9600F"/>
        <bgColor rgb="FFF47C20"/>
      </patternFill>
    </fill>
    <fill>
      <patternFill patternType="solid">
        <fgColor rgb="FF6B7080"/>
        <bgColor rgb="FF878787"/>
      </patternFill>
    </fill>
    <fill>
      <patternFill patternType="solid">
        <fgColor rgb="FF3A3F5C"/>
        <bgColor rgb="FF4A4F6B"/>
      </patternFill>
    </fill>
    <fill>
      <patternFill patternType="solid">
        <fgColor rgb="FF4A4F6B"/>
        <bgColor rgb="FF4A5068"/>
      </patternFill>
    </fill>
    <fill>
      <patternFill patternType="solid">
        <fgColor rgb="FF7A4B00"/>
        <bgColor rgb="FF7A5A00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47C20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/>
      <right/>
      <top/>
      <bottom style="thin">
        <color rgb="FFE6D9C8"/>
      </bottom>
      <diagonal/>
    </border>
    <border diagonalUp="false" diagonalDown="false">
      <left style="thin">
        <color rgb="FFE6D9C8"/>
      </left>
      <right style="thin">
        <color rgb="FFE6D9C8"/>
      </right>
      <top style="thin">
        <color rgb="FFE6D9C8"/>
      </top>
      <bottom style="thin">
        <color rgb="FFE6D9C8"/>
      </bottom>
      <diagonal/>
    </border>
    <border diagonalUp="false" diagonalDown="false">
      <left style="thin">
        <color rgb="FFF47C20"/>
      </left>
      <right style="thin">
        <color rgb="FFF47C20"/>
      </right>
      <top style="thin">
        <color rgb="FFF47C20"/>
      </top>
      <bottom style="thin">
        <color rgb="FFF47C20"/>
      </bottom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thick">
        <color rgb="FF0F6E70"/>
      </bottom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ck">
        <color rgb="FFF47C20"/>
      </bottom>
      <diagonal/>
    </border>
    <border diagonalUp="false" diagonalDown="false">
      <left/>
      <right/>
      <top/>
      <bottom style="thick">
        <color rgb="FFF47C20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ck">
        <color rgb="FF1B1F3B"/>
      </bottom>
      <diagonal/>
    </border>
    <border diagonalUp="false" diagonalDown="false">
      <left/>
      <right/>
      <top/>
      <bottom style="thick">
        <color rgb="FF1F9C9E"/>
      </bottom>
      <diagonal/>
    </border>
    <border diagonalUp="false" diagonalDown="false">
      <left/>
      <right/>
      <top/>
      <bottom style="thick">
        <color rgb="FF6A2C91"/>
      </bottom>
      <diagonal/>
    </border>
    <border diagonalUp="false" diagonalDown="false">
      <left/>
      <right/>
      <top/>
      <bottom style="thick">
        <color rgb="FF3B4A9B"/>
      </bottom>
      <diagonal/>
    </border>
    <border diagonalUp="false" diagonalDown="false">
      <left/>
      <right/>
      <top/>
      <bottom style="thick">
        <color rgb="FFC98A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9" fillId="6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7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9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1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1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1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7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15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16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7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2" fillId="16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16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33" fillId="15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33" fillId="15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32" fillId="16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3" fillId="15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4" fillId="1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9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9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9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7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16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9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7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2">
    <dxf>
      <font>
        <name val="Arial"/>
        <charset val="1"/>
        <family val="0"/>
        <b val="1"/>
        <strike val="0"/>
        <color rgb="FFD64545"/>
      </font>
    </dxf>
    <dxf>
      <font>
        <name val="Arial"/>
        <charset val="1"/>
        <family val="0"/>
        <b val="1"/>
        <strike val="0"/>
        <color rgb="FF0F6E70"/>
      </font>
    </dxf>
    <dxf>
      <fill>
        <patternFill patternType="solid">
          <fgColor rgb="FF0F6E70"/>
          <bgColor rgb="FF000000"/>
        </patternFill>
      </fill>
    </dxf>
    <dxf>
      <fill>
        <patternFill patternType="solid">
          <fgColor rgb="FFFFF8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1F3B"/>
          <bgColor rgb="FF000000"/>
        </patternFill>
      </fill>
    </dxf>
    <dxf>
      <fill>
        <patternFill patternType="solid">
          <fgColor rgb="FF9AA0B4"/>
          <bgColor rgb="FF000000"/>
        </patternFill>
      </fill>
    </dxf>
    <dxf>
      <fill>
        <patternFill patternType="solid">
          <fgColor rgb="FFFFF3C4"/>
          <bgColor rgb="FF000000"/>
        </patternFill>
      </fill>
    </dxf>
    <dxf>
      <fill>
        <patternFill patternType="solid">
          <fgColor rgb="FF2B2F45"/>
          <bgColor rgb="FF000000"/>
        </patternFill>
      </fill>
    </dxf>
    <dxf>
      <fill>
        <patternFill patternType="solid">
          <fgColor rgb="FFD6EFEF"/>
          <bgColor rgb="FF000000"/>
        </patternFill>
      </fill>
    </dxf>
    <dxf>
      <fill>
        <patternFill patternType="solid">
          <fgColor rgb="FF3A3F5C"/>
          <bgColor rgb="FF000000"/>
        </patternFill>
      </fill>
    </dxf>
    <dxf>
      <fill>
        <patternFill patternType="solid">
          <fgColor rgb="FFE8F1F3"/>
          <bgColor rgb="FF000000"/>
        </patternFill>
      </fill>
    </dxf>
    <dxf>
      <fill>
        <patternFill patternType="solid">
          <fgColor rgb="FF4A5068"/>
          <bgColor rgb="FF000000"/>
        </patternFill>
      </fill>
    </dxf>
    <dxf>
      <font>
        <name val="Arial"/>
        <charset val="1"/>
        <family val="0"/>
        <b val="1"/>
        <strike val="0"/>
        <color rgb="FF1B1F3B"/>
      </font>
    </dxf>
    <dxf>
      <font>
        <name val="Arial"/>
        <charset val="1"/>
        <family val="0"/>
        <b val="1"/>
        <strike val="0"/>
        <color rgb="FFFFFFFF"/>
      </font>
      <fill>
        <patternFill>
          <bgColor rgb="FF1F9C9E"/>
        </patternFill>
      </fill>
    </dxf>
    <dxf>
      <fill>
        <patternFill>
          <bgColor rgb="FFDDE1F3"/>
        </patternFill>
      </fill>
    </dxf>
    <dxf>
      <fill>
        <patternFill>
          <bgColor rgb="FFD6EFEF"/>
        </patternFill>
      </fill>
    </dxf>
    <dxf>
      <fill>
        <patternFill>
          <bgColor rgb="FFFFF0C2"/>
        </patternFill>
      </fill>
    </dxf>
    <dxf>
      <font>
        <name val="Arial"/>
        <charset val="1"/>
        <family val="0"/>
        <strike val="0"/>
        <color rgb="FF6B7080"/>
      </font>
      <fill>
        <patternFill>
          <bgColor rgb="FFECEEF3"/>
        </patternFill>
      </fill>
    </dxf>
    <dxf>
      <font>
        <name val="Arial"/>
        <charset val="1"/>
        <family val="0"/>
        <strike val="0"/>
        <color rgb="FFD64545"/>
      </font>
      <fill>
        <patternFill>
          <bgColor rgb="FFFADBD8"/>
        </patternFill>
      </fill>
    </dxf>
    <dxf>
      <font>
        <name val="Arial"/>
        <charset val="1"/>
        <family val="0"/>
        <b val="1"/>
        <strike val="0"/>
        <color rgb="FFFFFFFF"/>
      </font>
      <fill>
        <patternFill>
          <bgColor rgb="FFD64545"/>
        </patternFill>
      </fill>
    </dxf>
    <dxf>
      <font>
        <name val="Arial"/>
        <charset val="1"/>
        <family val="0"/>
        <b val="1"/>
        <strike val="0"/>
      </font>
      <fill>
        <patternFill>
          <bgColor rgb="FFFFF0C2"/>
        </patternFill>
      </fill>
    </dxf>
    <dxf>
      <fill>
        <patternFill patternType="solid">
          <fgColor rgb="FFDDE1F3"/>
          <bgColor rgb="FF000000"/>
        </patternFill>
      </fill>
    </dxf>
    <dxf>
      <fill>
        <patternFill patternType="solid">
          <fgColor rgb="FFFFF0C2"/>
          <bgColor rgb="FF000000"/>
        </patternFill>
      </fill>
    </dxf>
    <dxf>
      <fill>
        <patternFill patternType="solid">
          <fgColor rgb="FFF47C20"/>
          <bgColor rgb="FF000000"/>
        </patternFill>
      </fill>
    </dxf>
    <dxf>
      <fill>
        <patternFill patternType="solid">
          <fgColor rgb="FFFDE7D3"/>
          <bgColor rgb="FF000000"/>
        </patternFill>
      </fill>
    </dxf>
    <dxf>
      <fill>
        <patternFill patternType="solid">
          <fgColor rgb="FFD64545"/>
          <bgColor rgb="FF000000"/>
        </patternFill>
      </fill>
    </dxf>
    <dxf>
      <font>
        <name val="Arial"/>
        <charset val="1"/>
        <family val="0"/>
        <b val="1"/>
        <strike val="0"/>
        <color rgb="FFFFFFFF"/>
      </font>
      <fill>
        <patternFill>
          <bgColor rgb="FFF47C20"/>
        </patternFill>
      </fill>
    </dxf>
    <dxf>
      <font>
        <name val="Arial"/>
        <charset val="1"/>
        <family val="0"/>
        <b val="1"/>
        <strike val="0"/>
        <color rgb="FF7A5A00"/>
      </font>
      <fill>
        <patternFill>
          <bgColor rgb="FFFFF0C2"/>
        </patternFill>
      </fill>
    </dxf>
    <dxf>
      <font>
        <name val="Arial"/>
        <charset val="1"/>
        <family val="0"/>
        <b val="1"/>
        <strike val="0"/>
        <color rgb="FF0F6E70"/>
      </font>
      <fill>
        <patternFill>
          <bgColor rgb="FFD6EFEF"/>
        </patternFill>
      </fill>
    </dxf>
    <dxf>
      <fill>
        <patternFill>
          <bgColor rgb="FFFDE7D3"/>
        </patternFill>
      </fill>
    </dxf>
    <dxf>
      <fill>
        <patternFill>
          <bgColor rgb="FFEADFF3"/>
        </patternFill>
      </fill>
    </dxf>
    <dxf>
      <font>
        <name val="Arial"/>
        <charset val="1"/>
        <family val="0"/>
        <b val="1"/>
        <strike val="0"/>
        <color rgb="FFD64545"/>
      </font>
      <fill>
        <patternFill>
          <bgColor rgb="FFFADBD8"/>
        </patternFill>
      </fill>
    </dxf>
    <dxf>
      <fill>
        <patternFill patternType="solid">
          <fgColor rgb="FF1F9C9E"/>
          <bgColor rgb="FF000000"/>
        </patternFill>
      </fill>
    </dxf>
    <dxf>
      <font>
        <name val="Arial"/>
        <charset val="1"/>
        <family val="0"/>
        <b val="1"/>
        <strike val="0"/>
        <color rgb="FF6A2C91"/>
      </font>
      <fill>
        <patternFill>
          <bgColor rgb="FFEADFF3"/>
        </patternFill>
      </fill>
    </dxf>
    <dxf>
      <font>
        <name val="Arial"/>
        <charset val="1"/>
        <family val="0"/>
        <b val="1"/>
        <strike val="0"/>
        <color rgb="FF6B7080"/>
      </font>
      <fill>
        <patternFill>
          <bgColor rgb="FFECEEF3"/>
        </patternFill>
      </fill>
    </dxf>
    <dxf>
      <fill>
        <patternFill>
          <bgColor rgb="FFECEEF3"/>
        </patternFill>
      </fill>
    </dxf>
    <dxf>
      <fill>
        <patternFill patternType="solid">
          <fgColor rgb="FFEADFF3"/>
          <bgColor rgb="FF000000"/>
        </patternFill>
      </fill>
    </dxf>
    <dxf>
      <fill>
        <patternFill patternType="solid">
          <fgColor rgb="FF6A2C91"/>
          <bgColor rgb="FF000000"/>
        </patternFill>
      </fill>
    </dxf>
    <dxf>
      <fill>
        <patternFill patternType="solid">
          <fgColor rgb="FF3B4A9B"/>
          <bgColor rgb="FF000000"/>
        </patternFill>
      </fill>
    </dxf>
    <dxf>
      <fill>
        <patternFill patternType="solid">
          <fgColor rgb="FFC98A00"/>
          <bgColor rgb="FF000000"/>
        </patternFill>
      </fill>
    </dxf>
    <dxf>
      <fill>
        <patternFill patternType="solid">
          <fgColor rgb="FF7A5A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DE7D3"/>
      <rgbColor rgb="FFFF00FF"/>
      <rgbColor rgb="FF00FFFF"/>
      <rgbColor rgb="FF800000"/>
      <rgbColor rgb="FF008000"/>
      <rgbColor rgb="FF000080"/>
      <rgbColor rgb="FF7A5A00"/>
      <rgbColor rgb="FF800080"/>
      <rgbColor rgb="FF0F6E70"/>
      <rgbColor rgb="FFE6D9C8"/>
      <rgbColor rgb="FF878787"/>
      <rgbColor rgb="FF9AA0B4"/>
      <rgbColor rgb="FF6A2C91"/>
      <rgbColor rgb="FFFFF3C4"/>
      <rgbColor rgb="FFD6EFEF"/>
      <rgbColor rgb="FF660066"/>
      <rgbColor rgb="FFD9600F"/>
      <rgbColor rgb="FF4A5068"/>
      <rgbColor rgb="FFD9D9D9"/>
      <rgbColor rgb="FF000080"/>
      <rgbColor rgb="FFFF00FF"/>
      <rgbColor rgb="FFFFF8F0"/>
      <rgbColor rgb="FF00FFFF"/>
      <rgbColor rgb="FF800080"/>
      <rgbColor rgb="FF800000"/>
      <rgbColor rgb="FF008080"/>
      <rgbColor rgb="FF0000FF"/>
      <rgbColor rgb="FF00CCFF"/>
      <rgbColor rgb="FFE8F1F3"/>
      <rgbColor rgb="FFECEEF3"/>
      <rgbColor rgb="FFFFF0C2"/>
      <rgbColor rgb="FFDDE1F3"/>
      <rgbColor rgb="FFFADBD8"/>
      <rgbColor rgb="FFEADFF3"/>
      <rgbColor rgb="FFFFC48A"/>
      <rgbColor rgb="FF4A4F6B"/>
      <rgbColor rgb="FF33CCCC"/>
      <rgbColor rgb="FFC98A00"/>
      <rgbColor rgb="FFE9E4F5"/>
      <rgbColor rgb="FFE0A100"/>
      <rgbColor rgb="FFF47C20"/>
      <rgbColor rgb="FF6B7080"/>
      <rgbColor rgb="FF8A90A6"/>
      <rgbColor rgb="FF1B1F3B"/>
      <rgbColor rgb="FF1F9C9E"/>
      <rgbColor rgb="FF003300"/>
      <rgbColor rgb="FF3A3F5C"/>
      <rgbColor rgb="FF7A4B00"/>
      <rgbColor rgb="FFD64545"/>
      <rgbColor rgb="FF3B4A9B"/>
      <rgbColor rgb="FF2B2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Problemas por prioridade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Painel!D20</c:f>
              <c:strCache>
                <c:ptCount val="1"/>
                <c:pt idx="0">
                  <c:v>Crítica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Painel!$B$21:$B$25</c:f>
              <c:strCache>
                <c:ptCount val="5"/>
                <c:pt idx="0">
                  <c:v>Geral</c:v>
                </c:pt>
                <c:pt idx="1">
                  <c:v>Mentoring</c:v>
                </c:pt>
                <c:pt idx="2">
                  <c:v>Feira</c:v>
                </c:pt>
                <c:pt idx="3">
                  <c:v>Inova</c:v>
                </c:pt>
                <c:pt idx="4">
                  <c:v>Sensibilizando</c:v>
                </c:pt>
              </c:strCache>
            </c:strRef>
          </c:cat>
          <c:val>
            <c:numRef>
              <c:f>Painel!$D$21:$D$25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Painel!E20</c:f>
              <c:strCache>
                <c:ptCount val="1"/>
                <c:pt idx="0">
                  <c:v>Alta</c:v>
                </c:pt>
              </c:strCache>
            </c:strRef>
          </c:tx>
          <c:spPr>
            <a:solidFill>
              <a:srgbClr val="f47c20"/>
            </a:solidFill>
            <a:ln w="0">
              <a:solidFill>
                <a:srgbClr val="f47c2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Painel!$B$21:$B$25</c:f>
              <c:strCache>
                <c:ptCount val="5"/>
                <c:pt idx="0">
                  <c:v>Geral</c:v>
                </c:pt>
                <c:pt idx="1">
                  <c:v>Mentoring</c:v>
                </c:pt>
                <c:pt idx="2">
                  <c:v>Feira</c:v>
                </c:pt>
                <c:pt idx="3">
                  <c:v>Inova</c:v>
                </c:pt>
                <c:pt idx="4">
                  <c:v>Sensibilizando</c:v>
                </c:pt>
              </c:strCache>
            </c:strRef>
          </c:cat>
          <c:val>
            <c:numRef>
              <c:f>Painel!$E$21:$E$25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2"/>
          <c:order val="2"/>
          <c:tx>
            <c:strRef>
              <c:f>Painel!F20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rgbClr val="e0a100"/>
            </a:solidFill>
            <a:ln w="0">
              <a:solidFill>
                <a:srgbClr val="e0a1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Painel!$B$21:$B$25</c:f>
              <c:strCache>
                <c:ptCount val="5"/>
                <c:pt idx="0">
                  <c:v>Geral</c:v>
                </c:pt>
                <c:pt idx="1">
                  <c:v>Mentoring</c:v>
                </c:pt>
                <c:pt idx="2">
                  <c:v>Feira</c:v>
                </c:pt>
                <c:pt idx="3">
                  <c:v>Inova</c:v>
                </c:pt>
                <c:pt idx="4">
                  <c:v>Sensibilizando</c:v>
                </c:pt>
              </c:strCache>
            </c:strRef>
          </c:cat>
          <c:val>
            <c:numRef>
              <c:f>Painel!$F$21:$F$25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Painel!G20</c:f>
              <c:strCache>
                <c:ptCount val="1"/>
                <c:pt idx="0">
                  <c:v>Baixa</c:v>
                </c:pt>
              </c:strCache>
            </c:strRef>
          </c:tx>
          <c:spPr>
            <a:solidFill>
              <a:srgbClr val="1f9c9e"/>
            </a:solidFill>
            <a:ln w="0">
              <a:solidFill>
                <a:srgbClr val="1f9c9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Painel!$B$21:$B$25</c:f>
              <c:strCache>
                <c:ptCount val="5"/>
                <c:pt idx="0">
                  <c:v>Geral</c:v>
                </c:pt>
                <c:pt idx="1">
                  <c:v>Mentoring</c:v>
                </c:pt>
                <c:pt idx="2">
                  <c:v>Feira</c:v>
                </c:pt>
                <c:pt idx="3">
                  <c:v>Inova</c:v>
                </c:pt>
                <c:pt idx="4">
                  <c:v>Sensibilizando</c:v>
                </c:pt>
              </c:strCache>
            </c:strRef>
          </c:cat>
          <c:val>
            <c:numRef>
              <c:f>Painel!$G$21:$G$25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55"/>
        <c:overlap val="100"/>
        <c:axId val="43391259"/>
        <c:axId val="73298900"/>
      </c:barChart>
      <c:catAx>
        <c:axId val="433912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98900"/>
        <c:crosses val="autoZero"/>
        <c:auto val="1"/>
        <c:lblAlgn val="ctr"/>
        <c:lblOffset val="100"/>
        <c:noMultiLvlLbl val="0"/>
      </c:catAx>
      <c:valAx>
        <c:axId val="732989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912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Soluções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Painel!D35</c:f>
              <c:strCache>
                <c:ptCount val="1"/>
                <c:pt idx="0">
                  <c:v>Qtd.</c:v>
                </c:pt>
              </c:strCache>
            </c:strRef>
          </c:tx>
          <c:spPr>
            <a:solidFill>
              <a:srgbClr val="f47c20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6a2c91"/>
              </a:solidFill>
              <a:ln w="0">
                <a:solidFill>
                  <a:srgbClr val="6a2c91"/>
                </a:solidFill>
              </a:ln>
            </c:spPr>
          </c:dPt>
          <c:dPt>
            <c:idx val="1"/>
            <c:invertIfNegative val="0"/>
            <c:spPr>
              <a:solidFill>
                <a:srgbClr val="e0a100"/>
              </a:solidFill>
              <a:ln w="0">
                <a:solidFill>
                  <a:srgbClr val="e0a100"/>
                </a:solidFill>
              </a:ln>
            </c:spPr>
          </c:dPt>
          <c:dPt>
            <c:idx val="2"/>
            <c:invertIfNegative val="0"/>
            <c:spPr>
              <a:solidFill>
                <a:srgbClr val="1f9c9e"/>
              </a:solidFill>
              <a:ln w="0">
                <a:solidFill>
                  <a:srgbClr val="1f9c9e"/>
                </a:solidFill>
              </a:ln>
            </c:spPr>
          </c:dPt>
          <c:dPt>
            <c:idx val="3"/>
            <c:invertIfNegative val="0"/>
            <c:spPr>
              <a:solidFill>
                <a:srgbClr val="3b4a9b"/>
              </a:solidFill>
              <a:ln w="0">
                <a:solidFill>
                  <a:srgbClr val="3b4a9b"/>
                </a:solidFill>
              </a:ln>
            </c:spPr>
          </c:dPt>
          <c:dPt>
            <c:idx val="4"/>
            <c:invertIfNegative val="0"/>
            <c:spPr>
              <a:solidFill>
                <a:srgbClr val="0f6e70"/>
              </a:solidFill>
              <a:ln w="0">
                <a:solidFill>
                  <a:srgbClr val="0f6e70"/>
                </a:solidFill>
              </a:ln>
            </c:spPr>
          </c:dPt>
          <c:dPt>
            <c:idx val="5"/>
            <c:invertIfNegative val="0"/>
            <c:spPr>
              <a:solidFill>
                <a:srgbClr val="6b7080"/>
              </a:solidFill>
              <a:ln w="0">
                <a:solidFill>
                  <a:srgbClr val="6b708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Painel!$B$36:$B$41</c:f>
              <c:strCache>
                <c:ptCount val="6"/>
                <c:pt idx="0">
                  <c:v>Ideia</c:v>
                </c:pt>
                <c:pt idx="1">
                  <c:v>Em análise</c:v>
                </c:pt>
                <c:pt idx="2">
                  <c:v>Aprovada</c:v>
                </c:pt>
                <c:pt idx="3">
                  <c:v>Em implantação</c:v>
                </c:pt>
                <c:pt idx="4">
                  <c:v>Implantada</c:v>
                </c:pt>
                <c:pt idx="5">
                  <c:v>Descartada</c:v>
                </c:pt>
              </c:strCache>
            </c:strRef>
          </c:cat>
          <c:val>
            <c:numRef>
              <c:f>Painel!$D$36:$D$41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45"/>
        <c:overlap val="0"/>
        <c:axId val="47252985"/>
        <c:axId val="14527296"/>
      </c:barChart>
      <c:catAx>
        <c:axId val="472529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27296"/>
        <c:crosses val="autoZero"/>
        <c:auto val="1"/>
        <c:lblAlgn val="ctr"/>
        <c:lblOffset val="100"/>
        <c:noMultiLvlLbl val="0"/>
      </c:catAx>
      <c:valAx>
        <c:axId val="1452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529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18</xdr:row>
      <xdr:rowOff>0</xdr:rowOff>
    </xdr:from>
    <xdr:to>
      <xdr:col>12</xdr:col>
      <xdr:colOff>864000</xdr:colOff>
      <xdr:row>30</xdr:row>
      <xdr:rowOff>3600</xdr:rowOff>
    </xdr:to>
    <xdr:graphicFrame>
      <xdr:nvGraphicFramePr>
        <xdr:cNvPr id="0" name="Chart 1"/>
        <xdr:cNvGraphicFramePr/>
      </xdr:nvGraphicFramePr>
      <xdr:xfrm>
        <a:off x="6275160" y="5057640"/>
        <a:ext cx="59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12</xdr:col>
      <xdr:colOff>864000</xdr:colOff>
      <xdr:row>44</xdr:row>
      <xdr:rowOff>108720</xdr:rowOff>
    </xdr:to>
    <xdr:graphicFrame>
      <xdr:nvGraphicFramePr>
        <xdr:cNvPr id="1" name="Chart 2"/>
        <xdr:cNvGraphicFramePr/>
      </xdr:nvGraphicFramePr>
      <xdr:xfrm>
        <a:off x="6275160" y="8001000"/>
        <a:ext cx="59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F3B"/>
    <pageSetUpPr fitToPage="true"/>
  </sheetPr>
  <dimension ref="A1:N4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  <col collapsed="false" customWidth="true" hidden="false" outlineLevel="0" max="14" min="14" style="0" width="2"/>
  </cols>
  <sheetData>
    <row r="1" customFormat="false" ht="45.75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6" hidden="false" customHeight="true" outlineLevel="0" collapsed="false">
      <c r="B3" s="4"/>
      <c r="C3" s="4"/>
      <c r="D3" s="4"/>
      <c r="E3" s="4"/>
      <c r="F3" s="5"/>
      <c r="G3" s="5"/>
      <c r="H3" s="5"/>
      <c r="I3" s="5"/>
      <c r="J3" s="6"/>
      <c r="K3" s="6"/>
      <c r="L3" s="6"/>
      <c r="M3" s="6"/>
    </row>
    <row r="5" customFormat="false" ht="21.75" hidden="false" customHeight="true" outlineLevel="0" collapsed="false">
      <c r="B5" s="7" t="s">
        <v>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customFormat="false" ht="25.5" hidden="false" customHeight="true" outlineLevel="0" collapsed="false">
      <c r="B6" s="9" t="s">
        <v>3</v>
      </c>
      <c r="C6" s="9"/>
      <c r="D6" s="9"/>
      <c r="E6" s="10" t="s">
        <v>4</v>
      </c>
      <c r="F6" s="10"/>
      <c r="G6" s="10"/>
      <c r="H6" s="11" t="s">
        <v>5</v>
      </c>
      <c r="I6" s="11"/>
      <c r="J6" s="11"/>
      <c r="K6" s="12" t="s">
        <v>6</v>
      </c>
      <c r="L6" s="12"/>
      <c r="M6" s="12"/>
    </row>
    <row r="7" customFormat="false" ht="66" hidden="false" customHeight="true" outlineLevel="0" collapsed="false">
      <c r="B7" s="13" t="s">
        <v>7</v>
      </c>
      <c r="C7" s="13"/>
      <c r="D7" s="13"/>
      <c r="E7" s="14" t="s">
        <v>8</v>
      </c>
      <c r="F7" s="14"/>
      <c r="G7" s="14"/>
      <c r="H7" s="15" t="s">
        <v>9</v>
      </c>
      <c r="I7" s="15"/>
      <c r="J7" s="15"/>
      <c r="K7" s="16" t="s">
        <v>10</v>
      </c>
      <c r="L7" s="16"/>
      <c r="M7" s="16"/>
    </row>
    <row r="9" customFormat="false" ht="21.75" hidden="false" customHeight="true" outlineLevel="0" collapsed="false">
      <c r="B9" s="7" t="s">
        <v>11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customFormat="false" ht="21" hidden="false" customHeight="true" outlineLevel="0" collapsed="false">
      <c r="A10" s="6"/>
      <c r="B10" s="17" t="s">
        <v>12</v>
      </c>
      <c r="C10" s="17"/>
      <c r="D10" s="17"/>
      <c r="E10" s="18" t="s">
        <v>13</v>
      </c>
      <c r="F10" s="18"/>
      <c r="G10" s="18"/>
      <c r="H10" s="18"/>
      <c r="I10" s="18"/>
      <c r="J10" s="18"/>
      <c r="K10" s="18"/>
      <c r="L10" s="18"/>
      <c r="M10" s="18"/>
    </row>
    <row r="11" customFormat="false" ht="21" hidden="false" customHeight="true" outlineLevel="0" collapsed="false">
      <c r="A11" s="19"/>
      <c r="B11" s="20" t="s">
        <v>14</v>
      </c>
      <c r="C11" s="20"/>
      <c r="D11" s="20"/>
      <c r="E11" s="21" t="s">
        <v>15</v>
      </c>
      <c r="F11" s="21"/>
      <c r="G11" s="21"/>
      <c r="H11" s="21"/>
      <c r="I11" s="21"/>
      <c r="J11" s="21"/>
      <c r="K11" s="21"/>
      <c r="L11" s="21"/>
      <c r="M11" s="21"/>
    </row>
    <row r="12" customFormat="false" ht="21" hidden="false" customHeight="true" outlineLevel="0" collapsed="false">
      <c r="A12" s="19"/>
      <c r="B12" s="17" t="s">
        <v>16</v>
      </c>
      <c r="C12" s="17"/>
      <c r="D12" s="17"/>
      <c r="E12" s="18" t="s">
        <v>17</v>
      </c>
      <c r="F12" s="18"/>
      <c r="G12" s="18"/>
      <c r="H12" s="18"/>
      <c r="I12" s="18"/>
      <c r="J12" s="18"/>
      <c r="K12" s="18"/>
      <c r="L12" s="18"/>
      <c r="M12" s="18"/>
    </row>
    <row r="13" customFormat="false" ht="21" hidden="false" customHeight="true" outlineLevel="0" collapsed="false">
      <c r="A13" s="4"/>
      <c r="B13" s="20" t="s">
        <v>18</v>
      </c>
      <c r="C13" s="20"/>
      <c r="D13" s="20"/>
      <c r="E13" s="21" t="s">
        <v>19</v>
      </c>
      <c r="F13" s="21"/>
      <c r="G13" s="21"/>
      <c r="H13" s="21"/>
      <c r="I13" s="21"/>
      <c r="J13" s="21"/>
      <c r="K13" s="21"/>
      <c r="L13" s="21"/>
      <c r="M13" s="21"/>
    </row>
    <row r="14" customFormat="false" ht="21" hidden="false" customHeight="true" outlineLevel="0" collapsed="false">
      <c r="A14" s="4"/>
      <c r="B14" s="17" t="s">
        <v>20</v>
      </c>
      <c r="C14" s="17"/>
      <c r="D14" s="17"/>
      <c r="E14" s="18" t="s">
        <v>21</v>
      </c>
      <c r="F14" s="18"/>
      <c r="G14" s="18"/>
      <c r="H14" s="18"/>
      <c r="I14" s="18"/>
      <c r="J14" s="18"/>
      <c r="K14" s="18"/>
      <c r="L14" s="18"/>
      <c r="M14" s="18"/>
    </row>
    <row r="15" customFormat="false" ht="21" hidden="false" customHeight="true" outlineLevel="0" collapsed="false">
      <c r="A15" s="5"/>
      <c r="B15" s="20" t="s">
        <v>22</v>
      </c>
      <c r="C15" s="20"/>
      <c r="D15" s="20"/>
      <c r="E15" s="21" t="s">
        <v>23</v>
      </c>
      <c r="F15" s="21"/>
      <c r="G15" s="21"/>
      <c r="H15" s="21"/>
      <c r="I15" s="21"/>
      <c r="J15" s="21"/>
      <c r="K15" s="21"/>
      <c r="L15" s="21"/>
      <c r="M15" s="21"/>
    </row>
    <row r="16" customFormat="false" ht="21" hidden="false" customHeight="true" outlineLevel="0" collapsed="false">
      <c r="A16" s="5"/>
      <c r="B16" s="17" t="s">
        <v>24</v>
      </c>
      <c r="C16" s="17"/>
      <c r="D16" s="17"/>
      <c r="E16" s="18" t="s">
        <v>25</v>
      </c>
      <c r="F16" s="18"/>
      <c r="G16" s="18"/>
      <c r="H16" s="18"/>
      <c r="I16" s="18"/>
      <c r="J16" s="18"/>
      <c r="K16" s="18"/>
      <c r="L16" s="18"/>
      <c r="M16" s="18"/>
    </row>
    <row r="17" customFormat="false" ht="21" hidden="false" customHeight="true" outlineLevel="0" collapsed="false">
      <c r="A17" s="6"/>
      <c r="B17" s="20" t="s">
        <v>26</v>
      </c>
      <c r="C17" s="20"/>
      <c r="D17" s="20"/>
      <c r="E17" s="21" t="s">
        <v>27</v>
      </c>
      <c r="F17" s="21"/>
      <c r="G17" s="21"/>
      <c r="H17" s="21"/>
      <c r="I17" s="21"/>
      <c r="J17" s="21"/>
      <c r="K17" s="21"/>
      <c r="L17" s="21"/>
      <c r="M17" s="21"/>
    </row>
    <row r="18" customFormat="false" ht="21" hidden="false" customHeight="true" outlineLevel="0" collapsed="false">
      <c r="A18" s="6"/>
      <c r="B18" s="17" t="s">
        <v>28</v>
      </c>
      <c r="C18" s="17"/>
      <c r="D18" s="17"/>
      <c r="E18" s="18" t="s">
        <v>29</v>
      </c>
      <c r="F18" s="18"/>
      <c r="G18" s="18"/>
      <c r="H18" s="18"/>
      <c r="I18" s="18"/>
      <c r="J18" s="18"/>
      <c r="K18" s="18"/>
      <c r="L18" s="18"/>
      <c r="M18" s="18"/>
    </row>
    <row r="19" customFormat="false" ht="21" hidden="false" customHeight="true" outlineLevel="0" collapsed="false">
      <c r="A19" s="22"/>
      <c r="B19" s="20" t="s">
        <v>30</v>
      </c>
      <c r="C19" s="20"/>
      <c r="D19" s="20"/>
      <c r="E19" s="21" t="s">
        <v>31</v>
      </c>
      <c r="F19" s="21"/>
      <c r="G19" s="21"/>
      <c r="H19" s="21"/>
      <c r="I19" s="21"/>
      <c r="J19" s="21"/>
      <c r="K19" s="21"/>
      <c r="L19" s="21"/>
      <c r="M19" s="21"/>
    </row>
    <row r="20" customFormat="false" ht="21" hidden="false" customHeight="true" outlineLevel="0" collapsed="false">
      <c r="A20" s="22"/>
      <c r="B20" s="17" t="s">
        <v>32</v>
      </c>
      <c r="C20" s="17"/>
      <c r="D20" s="17"/>
      <c r="E20" s="18" t="s">
        <v>33</v>
      </c>
      <c r="F20" s="18"/>
      <c r="G20" s="18"/>
      <c r="H20" s="18"/>
      <c r="I20" s="18"/>
      <c r="J20" s="18"/>
      <c r="K20" s="18"/>
      <c r="L20" s="18"/>
      <c r="M20" s="18"/>
    </row>
    <row r="21" customFormat="false" ht="21" hidden="false" customHeight="true" outlineLevel="0" collapsed="false">
      <c r="A21" s="23"/>
      <c r="B21" s="20" t="s">
        <v>34</v>
      </c>
      <c r="C21" s="20"/>
      <c r="D21" s="20"/>
      <c r="E21" s="21" t="s">
        <v>35</v>
      </c>
      <c r="F21" s="21"/>
      <c r="G21" s="21"/>
      <c r="H21" s="21"/>
      <c r="I21" s="21"/>
      <c r="J21" s="21"/>
      <c r="K21" s="21"/>
      <c r="L21" s="21"/>
      <c r="M21" s="21"/>
    </row>
    <row r="22" customFormat="false" ht="21" hidden="false" customHeight="true" outlineLevel="0" collapsed="false">
      <c r="A22" s="23"/>
      <c r="B22" s="17" t="s">
        <v>36</v>
      </c>
      <c r="C22" s="17"/>
      <c r="D22" s="17"/>
      <c r="E22" s="18" t="s">
        <v>37</v>
      </c>
      <c r="F22" s="18"/>
      <c r="G22" s="18"/>
      <c r="H22" s="18"/>
      <c r="I22" s="18"/>
      <c r="J22" s="18"/>
      <c r="K22" s="18"/>
      <c r="L22" s="18"/>
      <c r="M22" s="18"/>
    </row>
    <row r="23" customFormat="false" ht="21" hidden="false" customHeight="true" outlineLevel="0" collapsed="false">
      <c r="A23" s="24"/>
      <c r="B23" s="20" t="s">
        <v>38</v>
      </c>
      <c r="C23" s="20"/>
      <c r="D23" s="20"/>
      <c r="E23" s="21" t="s">
        <v>39</v>
      </c>
      <c r="F23" s="21"/>
      <c r="G23" s="21"/>
      <c r="H23" s="21"/>
      <c r="I23" s="21"/>
      <c r="J23" s="21"/>
      <c r="K23" s="21"/>
      <c r="L23" s="21"/>
      <c r="M23" s="21"/>
    </row>
    <row r="25" customFormat="false" ht="21.75" hidden="false" customHeight="true" outlineLevel="0" collapsed="false">
      <c r="B25" s="7" t="s">
        <v>40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customFormat="false" ht="21" hidden="false" customHeight="true" outlineLevel="0" collapsed="false">
      <c r="B26" s="25" t="s">
        <v>41</v>
      </c>
      <c r="C26" s="25"/>
      <c r="D26" s="25"/>
      <c r="E26" s="26" t="s">
        <v>42</v>
      </c>
      <c r="F26" s="26"/>
      <c r="G26" s="26"/>
      <c r="H26" s="26"/>
      <c r="I26" s="26"/>
      <c r="J26" s="26"/>
      <c r="K26" s="26"/>
      <c r="L26" s="26"/>
      <c r="M26" s="26"/>
    </row>
    <row r="27" customFormat="false" ht="21" hidden="false" customHeight="true" outlineLevel="0" collapsed="false">
      <c r="B27" s="27" t="s">
        <v>43</v>
      </c>
      <c r="C27" s="27"/>
      <c r="D27" s="27"/>
      <c r="E27" s="26" t="s">
        <v>44</v>
      </c>
      <c r="F27" s="26"/>
      <c r="G27" s="26"/>
      <c r="H27" s="26"/>
      <c r="I27" s="26"/>
      <c r="J27" s="26"/>
      <c r="K27" s="26"/>
      <c r="L27" s="26"/>
      <c r="M27" s="26"/>
    </row>
    <row r="28" customFormat="false" ht="21" hidden="false" customHeight="true" outlineLevel="0" collapsed="false">
      <c r="B28" s="28" t="s">
        <v>45</v>
      </c>
      <c r="C28" s="28"/>
      <c r="D28" s="28"/>
      <c r="E28" s="26" t="s">
        <v>46</v>
      </c>
      <c r="F28" s="26"/>
      <c r="G28" s="26"/>
      <c r="H28" s="26"/>
      <c r="I28" s="26"/>
      <c r="J28" s="26"/>
      <c r="K28" s="26"/>
      <c r="L28" s="26"/>
      <c r="M28" s="26"/>
    </row>
    <row r="29" customFormat="false" ht="21" hidden="false" customHeight="true" outlineLevel="0" collapsed="false">
      <c r="B29" s="29" t="s">
        <v>47</v>
      </c>
      <c r="C29" s="29"/>
      <c r="D29" s="29"/>
      <c r="E29" s="26" t="s">
        <v>48</v>
      </c>
      <c r="F29" s="26"/>
      <c r="G29" s="26"/>
      <c r="H29" s="26"/>
      <c r="I29" s="26"/>
      <c r="J29" s="26"/>
      <c r="K29" s="26"/>
      <c r="L29" s="26"/>
      <c r="M29" s="26"/>
    </row>
    <row r="30" customFormat="false" ht="21" hidden="false" customHeight="true" outlineLevel="0" collapsed="false">
      <c r="B30" s="30" t="s">
        <v>49</v>
      </c>
      <c r="C30" s="30"/>
      <c r="D30" s="30"/>
      <c r="E30" s="26" t="s">
        <v>50</v>
      </c>
      <c r="F30" s="26"/>
      <c r="G30" s="26"/>
      <c r="H30" s="26"/>
      <c r="I30" s="26"/>
      <c r="J30" s="26"/>
      <c r="K30" s="26"/>
      <c r="L30" s="26"/>
      <c r="M30" s="26"/>
    </row>
    <row r="31" customFormat="false" ht="30" hidden="false" customHeight="true" outlineLevel="0" collapsed="false">
      <c r="B31" s="31" t="s">
        <v>51</v>
      </c>
      <c r="C31" s="31"/>
      <c r="D31" s="31"/>
      <c r="E31" s="26" t="s">
        <v>52</v>
      </c>
      <c r="F31" s="26"/>
      <c r="G31" s="26"/>
      <c r="H31" s="26"/>
      <c r="I31" s="26"/>
      <c r="J31" s="26"/>
      <c r="K31" s="26"/>
      <c r="L31" s="26"/>
      <c r="M31" s="26"/>
    </row>
    <row r="32" customFormat="false" ht="21" hidden="false" customHeight="true" outlineLevel="0" collapsed="false">
      <c r="B32" s="32" t="s">
        <v>53</v>
      </c>
      <c r="C32" s="32"/>
      <c r="D32" s="32"/>
      <c r="E32" s="26" t="s">
        <v>54</v>
      </c>
      <c r="F32" s="26"/>
      <c r="G32" s="26"/>
      <c r="H32" s="26"/>
      <c r="I32" s="26"/>
      <c r="J32" s="26"/>
      <c r="K32" s="26"/>
      <c r="L32" s="26"/>
      <c r="M32" s="26"/>
    </row>
    <row r="34" customFormat="false" ht="21.75" hidden="false" customHeight="true" outlineLevel="0" collapsed="false">
      <c r="B34" s="7" t="s">
        <v>55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customFormat="false" ht="21.75" hidden="false" customHeight="true" outlineLevel="0" collapsed="false">
      <c r="B35" s="33" t="s">
        <v>56</v>
      </c>
      <c r="C35" s="33"/>
      <c r="D35" s="33"/>
      <c r="E35" s="34" t="s">
        <v>57</v>
      </c>
      <c r="F35" s="34"/>
      <c r="G35" s="34"/>
      <c r="H35" s="34"/>
      <c r="I35" s="34"/>
      <c r="J35" s="34"/>
      <c r="K35" s="34"/>
      <c r="L35" s="34"/>
      <c r="M35" s="34"/>
    </row>
    <row r="36" customFormat="false" ht="21.75" hidden="false" customHeight="true" outlineLevel="0" collapsed="false">
      <c r="B36" s="35" t="s">
        <v>58</v>
      </c>
      <c r="C36" s="35"/>
      <c r="D36" s="35"/>
      <c r="E36" s="34" t="s">
        <v>59</v>
      </c>
      <c r="F36" s="34"/>
      <c r="G36" s="34"/>
      <c r="H36" s="34"/>
      <c r="I36" s="34"/>
      <c r="J36" s="34"/>
      <c r="K36" s="34"/>
      <c r="L36" s="34"/>
      <c r="M36" s="34"/>
    </row>
    <row r="37" customFormat="false" ht="21.75" hidden="false" customHeight="true" outlineLevel="0" collapsed="false">
      <c r="B37" s="36" t="s">
        <v>60</v>
      </c>
      <c r="C37" s="36"/>
      <c r="D37" s="36"/>
      <c r="E37" s="34" t="s">
        <v>61</v>
      </c>
      <c r="F37" s="34"/>
      <c r="G37" s="34"/>
      <c r="H37" s="34"/>
      <c r="I37" s="34"/>
      <c r="J37" s="34"/>
      <c r="K37" s="34"/>
      <c r="L37" s="34"/>
      <c r="M37" s="34"/>
    </row>
    <row r="38" customFormat="false" ht="21.75" hidden="false" customHeight="true" outlineLevel="0" collapsed="false">
      <c r="B38" s="37" t="s">
        <v>62</v>
      </c>
      <c r="C38" s="37"/>
      <c r="D38" s="37"/>
      <c r="E38" s="34" t="s">
        <v>63</v>
      </c>
      <c r="F38" s="34"/>
      <c r="G38" s="34"/>
      <c r="H38" s="34"/>
      <c r="I38" s="34"/>
      <c r="J38" s="34"/>
      <c r="K38" s="34"/>
      <c r="L38" s="34"/>
      <c r="M38" s="34"/>
    </row>
    <row r="39" customFormat="false" ht="27.75" hidden="false" customHeight="true" outlineLevel="0" collapsed="false">
      <c r="B39" s="38" t="s">
        <v>64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customFormat="false" ht="27.75" hidden="false" customHeight="true" outlineLevel="0" collapsed="false">
      <c r="B40" s="38" t="s">
        <v>65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</row>
    <row r="41" customFormat="false" ht="27.75" hidden="false" customHeight="true" outlineLevel="0" collapsed="false">
      <c r="B41" s="38" t="s">
        <v>66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</row>
    <row r="42" customFormat="false" ht="27.75" hidden="false" customHeight="true" outlineLevel="0" collapsed="false">
      <c r="B42" s="38" t="s">
        <v>67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</row>
  </sheetData>
  <mergeCells count="62">
    <mergeCell ref="B6:D6"/>
    <mergeCell ref="E6:G6"/>
    <mergeCell ref="H6:J6"/>
    <mergeCell ref="K6:M6"/>
    <mergeCell ref="B7:D7"/>
    <mergeCell ref="E7:G7"/>
    <mergeCell ref="H7:J7"/>
    <mergeCell ref="K7:M7"/>
    <mergeCell ref="B10:D10"/>
    <mergeCell ref="E10:M10"/>
    <mergeCell ref="B11:D11"/>
    <mergeCell ref="E11:M11"/>
    <mergeCell ref="B12:D12"/>
    <mergeCell ref="E12:M12"/>
    <mergeCell ref="B13:D13"/>
    <mergeCell ref="E13:M13"/>
    <mergeCell ref="B14:D14"/>
    <mergeCell ref="E14:M14"/>
    <mergeCell ref="B15:D15"/>
    <mergeCell ref="E15:M15"/>
    <mergeCell ref="B16:D16"/>
    <mergeCell ref="E16:M16"/>
    <mergeCell ref="B17:D17"/>
    <mergeCell ref="E17:M17"/>
    <mergeCell ref="B18:D18"/>
    <mergeCell ref="E18:M18"/>
    <mergeCell ref="B19:D19"/>
    <mergeCell ref="E19:M19"/>
    <mergeCell ref="B20:D20"/>
    <mergeCell ref="E20:M20"/>
    <mergeCell ref="B21:D21"/>
    <mergeCell ref="E21:M21"/>
    <mergeCell ref="B22:D22"/>
    <mergeCell ref="E22:M22"/>
    <mergeCell ref="B23:D23"/>
    <mergeCell ref="E23:M23"/>
    <mergeCell ref="B26:D26"/>
    <mergeCell ref="E26:M26"/>
    <mergeCell ref="B27:D27"/>
    <mergeCell ref="E27:M27"/>
    <mergeCell ref="B28:D28"/>
    <mergeCell ref="E28:M28"/>
    <mergeCell ref="B29:D29"/>
    <mergeCell ref="E29:M29"/>
    <mergeCell ref="B30:D30"/>
    <mergeCell ref="E30:M30"/>
    <mergeCell ref="B31:D31"/>
    <mergeCell ref="E31:M31"/>
    <mergeCell ref="B32:D32"/>
    <mergeCell ref="E32:M32"/>
    <mergeCell ref="B35:D35"/>
    <mergeCell ref="E35:M35"/>
    <mergeCell ref="B36:D36"/>
    <mergeCell ref="E36:M36"/>
    <mergeCell ref="B37:D37"/>
    <mergeCell ref="E37:M37"/>
    <mergeCell ref="B38:D38"/>
    <mergeCell ref="E38:M38"/>
    <mergeCell ref="B39:M39"/>
    <mergeCell ref="B40:M40"/>
    <mergeCell ref="B41:M41"/>
    <mergeCell ref="B42:M42"/>
  </mergeCells>
  <hyperlinks>
    <hyperlink ref="B10" location="'Painel'!A1" display="Painel"/>
    <hyperlink ref="B11" location="'Fontes e Parcerias'!A1" display="Fontes e Parcerias"/>
    <hyperlink ref="B12" location="'Conversas'!A1" display="Conversas"/>
    <hyperlink ref="B13" location="'Geral - Problemas'!A1" display="Geral - Problemas"/>
    <hyperlink ref="B14" location="'Geral - Soluções'!A1" display="Geral - Soluções"/>
    <hyperlink ref="B15" location="'Mentoring - Problemas'!A1" display="Mentoring - Problemas"/>
    <hyperlink ref="B16" location="'Mentoring - Soluções'!A1" display="Mentoring - Soluções"/>
    <hyperlink ref="B17" location="'Feira - Problemas'!A1" display="Feira - Problemas"/>
    <hyperlink ref="B18" location="'Feira - Soluções'!A1" display="Feira - Soluções"/>
    <hyperlink ref="B19" location="'Inova - Problemas'!A1" display="Inova - Problemas"/>
    <hyperlink ref="B20" location="'Inova - Soluções'!A1" display="Inova - Soluções"/>
    <hyperlink ref="B21" location="'Sensibilizando - Problemas'!A1" display="Sensibilizando - Problemas"/>
    <hyperlink ref="B22" location="'Sensibilizando - Soluções'!A1" display="Sensibilizando - Soluções"/>
    <hyperlink ref="B23" location="'Listas'!A1" display="List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2C91"/>
    <pageSetUpPr fitToPage="true"/>
  </sheetPr>
  <dimension ref="A1:N5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.51"/>
    <col collapsed="false" customWidth="true" hidden="false" outlineLevel="0" max="14" min="14" style="0" width="2"/>
  </cols>
  <sheetData>
    <row r="1" customFormat="false" ht="37.5" hidden="false" customHeight="true" outlineLevel="0" collapsed="false">
      <c r="A1" s="1"/>
      <c r="B1" s="39" t="s">
        <v>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1"/>
      <c r="B2" s="40" t="s">
        <v>69</v>
      </c>
      <c r="C2" s="1"/>
      <c r="D2" s="1"/>
      <c r="E2" s="1"/>
      <c r="F2" s="1"/>
      <c r="G2" s="1"/>
      <c r="H2" s="1"/>
      <c r="I2" s="1"/>
      <c r="J2" s="1"/>
      <c r="K2" s="1"/>
      <c r="L2" s="1"/>
      <c r="M2" s="41" t="s">
        <v>70</v>
      </c>
      <c r="N2" s="1"/>
    </row>
    <row r="3" customFormat="false" ht="6" hidden="false" customHeight="true" outlineLevel="0" collapsed="false">
      <c r="B3" s="4"/>
      <c r="C3" s="4"/>
      <c r="D3" s="4"/>
      <c r="E3" s="4"/>
      <c r="F3" s="5"/>
      <c r="G3" s="5"/>
      <c r="H3" s="5"/>
      <c r="I3" s="5"/>
      <c r="J3" s="6"/>
      <c r="K3" s="6"/>
      <c r="L3" s="6"/>
      <c r="M3" s="6"/>
    </row>
    <row r="5" customFormat="false" ht="21.75" hidden="false" customHeight="true" outlineLevel="0" collapsed="false">
      <c r="B5" s="42" t="s">
        <v>71</v>
      </c>
      <c r="C5" s="42"/>
      <c r="D5" s="43" t="s">
        <v>72</v>
      </c>
      <c r="E5" s="43"/>
      <c r="F5" s="44" t="s">
        <v>73</v>
      </c>
      <c r="G5" s="44"/>
      <c r="H5" s="45" t="s">
        <v>74</v>
      </c>
      <c r="I5" s="45"/>
      <c r="J5" s="46" t="s">
        <v>75</v>
      </c>
      <c r="K5" s="46"/>
      <c r="L5" s="43" t="s">
        <v>76</v>
      </c>
      <c r="M5" s="43"/>
    </row>
    <row r="6" customFormat="false" ht="24" hidden="false" customHeight="true" outlineLevel="0" collapsed="false">
      <c r="B6" s="47" t="n">
        <f aca="false">D16</f>
        <v>5</v>
      </c>
      <c r="C6" s="47"/>
      <c r="D6" s="48" t="n">
        <f aca="false">COUNTIFS('Geral - Problemas'!$J$5:$J$500,"Crítica",'Geral - Problemas'!$N$5:$N$500,0)+COUNTIFS('Mentoring - Problemas'!$J$5:$J$500,"Crítica",'Mentoring - Problemas'!$N$5:$N$500,0)+COUNTIFS('Feira - Problemas'!$J$5:$J$500,"Crítica",'Feira - Problemas'!$N$5:$N$500,0)+COUNTIFS('Inova - Problemas'!$J$5:$J$500,"Crítica",'Inova - Problemas'!$N$5:$N$500,0)+COUNTIFS('Sensibilizando - Problemas'!$J$5:$J$500,"Crítica",'Sensibilizando - Problemas'!$N$5:$N$500,0)</f>
        <v>0</v>
      </c>
      <c r="E6" s="48"/>
      <c r="F6" s="49" t="n">
        <f aca="false">J16</f>
        <v>5</v>
      </c>
      <c r="G6" s="49"/>
      <c r="H6" s="50" t="n">
        <f aca="false">M16</f>
        <v>0</v>
      </c>
      <c r="I6" s="50"/>
      <c r="J6" s="51" t="n">
        <f aca="false">COUNTA('Fontes e Parcerias'!$B$5:$B$500)</f>
        <v>1</v>
      </c>
      <c r="K6" s="51"/>
      <c r="L6" s="48" t="n">
        <f aca="false">COUNTIF('Fontes e Parcerias'!$P$5:$P$500,"*Atrasado*")+COUNTIF(Conversas!$K$5:$K$500,"*Atrasado*")</f>
        <v>0</v>
      </c>
      <c r="M6" s="48"/>
    </row>
    <row r="7" customFormat="false" ht="24" hidden="false" customHeight="true" outlineLevel="0" collapsed="false">
      <c r="B7" s="47"/>
      <c r="C7" s="47"/>
      <c r="D7" s="48"/>
      <c r="E7" s="48"/>
      <c r="F7" s="49"/>
      <c r="G7" s="49"/>
      <c r="H7" s="50"/>
      <c r="I7" s="50"/>
      <c r="J7" s="51"/>
      <c r="K7" s="51"/>
      <c r="L7" s="48"/>
      <c r="M7" s="48"/>
    </row>
    <row r="9" customFormat="false" ht="21.75" hidden="false" customHeight="true" outlineLevel="0" collapsed="false">
      <c r="B9" s="7" t="s">
        <v>77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customFormat="false" ht="36" hidden="false" customHeight="true" outlineLevel="0" collapsed="false">
      <c r="B10" s="52" t="s">
        <v>78</v>
      </c>
      <c r="C10" s="52"/>
      <c r="D10" s="53" t="s">
        <v>79</v>
      </c>
      <c r="E10" s="53" t="s">
        <v>80</v>
      </c>
      <c r="F10" s="53" t="s">
        <v>81</v>
      </c>
      <c r="G10" s="53" t="s">
        <v>82</v>
      </c>
      <c r="H10" s="53" t="s">
        <v>83</v>
      </c>
      <c r="I10" s="53" t="s">
        <v>84</v>
      </c>
      <c r="J10" s="54" t="s">
        <v>85</v>
      </c>
      <c r="K10" s="54" t="s">
        <v>86</v>
      </c>
      <c r="L10" s="54" t="s">
        <v>87</v>
      </c>
      <c r="M10" s="54" t="s">
        <v>88</v>
      </c>
    </row>
    <row r="11" customFormat="false" ht="24" hidden="false" customHeight="true" outlineLevel="0" collapsed="false">
      <c r="B11" s="55" t="s">
        <v>89</v>
      </c>
      <c r="C11" s="55"/>
      <c r="D11" s="56" t="n">
        <f aca="false">COUNTA('Geral - Problemas'!$B$5:$B$500)</f>
        <v>1</v>
      </c>
      <c r="E11" s="56" t="n">
        <f aca="false">COUNTIF('Geral - Problemas'!$E$5:$E$500,"Ocorrendo hoje")</f>
        <v>1</v>
      </c>
      <c r="F11" s="56" t="n">
        <f aca="false">COUNTIF('Geral - Problemas'!$J$5:$J$500,"Crítica")+COUNTIF('Geral - Problemas'!$J$5:$J$500,"Alta")</f>
        <v>1</v>
      </c>
      <c r="G11" s="56" t="n">
        <f aca="false">COUNTIF('Geral - Problemas'!$M$5:$M$500,"Resolvido")</f>
        <v>0</v>
      </c>
      <c r="H11" s="56" t="n">
        <f aca="false">D11-COUNTIF('Geral - Problemas'!$N$5:$N$500,"&gt;0")</f>
        <v>0</v>
      </c>
      <c r="I11" s="57" t="n">
        <f aca="false">IF(D11=0,0,1-H11/D11)</f>
        <v>1</v>
      </c>
      <c r="J11" s="56" t="n">
        <f aca="false">COUNTA('Geral - Soluções'!$B$5:$B$500)</f>
        <v>1</v>
      </c>
      <c r="K11" s="56" t="n">
        <f aca="false">COUNTIF('Geral - Soluções'!$M$5:$M$500,"*Quick win*")</f>
        <v>1</v>
      </c>
      <c r="L11" s="56" t="n">
        <f aca="false">COUNTIF('Geral - Soluções'!$P$5:$P$500,"Em implantação")</f>
        <v>0</v>
      </c>
      <c r="M11" s="56" t="n">
        <f aca="false">COUNTIF('Geral - Soluções'!$P$5:$P$500,"Implantada")</f>
        <v>0</v>
      </c>
    </row>
    <row r="12" customFormat="false" ht="24" hidden="false" customHeight="true" outlineLevel="0" collapsed="false">
      <c r="B12" s="58" t="s">
        <v>90</v>
      </c>
      <c r="C12" s="58"/>
      <c r="D12" s="59" t="n">
        <f aca="false">COUNTA('Mentoring - Problemas'!$B$5:$B$500)</f>
        <v>1</v>
      </c>
      <c r="E12" s="59" t="n">
        <f aca="false">COUNTIF('Mentoring - Problemas'!$E$5:$E$500,"Ocorrendo hoje")</f>
        <v>1</v>
      </c>
      <c r="F12" s="59" t="n">
        <f aca="false">COUNTIF('Mentoring - Problemas'!$J$5:$J$500,"Crítica")+COUNTIF('Mentoring - Problemas'!$J$5:$J$500,"Alta")</f>
        <v>1</v>
      </c>
      <c r="G12" s="59" t="n">
        <f aca="false">COUNTIF('Mentoring - Problemas'!$M$5:$M$500,"Resolvido")</f>
        <v>0</v>
      </c>
      <c r="H12" s="59" t="n">
        <f aca="false">D12-COUNTIF('Mentoring - Problemas'!$N$5:$N$500,"&gt;0")</f>
        <v>0</v>
      </c>
      <c r="I12" s="60" t="n">
        <f aca="false">IF(D12=0,0,1-H12/D12)</f>
        <v>1</v>
      </c>
      <c r="J12" s="59" t="n">
        <f aca="false">COUNTA('Mentoring - Soluções'!$B$5:$B$500)</f>
        <v>1</v>
      </c>
      <c r="K12" s="59" t="n">
        <f aca="false">COUNTIF('Mentoring - Soluções'!$M$5:$M$500,"*Quick win*")</f>
        <v>0</v>
      </c>
      <c r="L12" s="59" t="n">
        <f aca="false">COUNTIF('Mentoring - Soluções'!$P$5:$P$500,"Em implantação")</f>
        <v>0</v>
      </c>
      <c r="M12" s="59" t="n">
        <f aca="false">COUNTIF('Mentoring - Soluções'!$P$5:$P$500,"Implantada")</f>
        <v>0</v>
      </c>
    </row>
    <row r="13" customFormat="false" ht="24" hidden="false" customHeight="true" outlineLevel="0" collapsed="false">
      <c r="B13" s="61" t="s">
        <v>91</v>
      </c>
      <c r="C13" s="61"/>
      <c r="D13" s="56" t="n">
        <f aca="false">COUNTA('Feira - Problemas'!$B$5:$B$500)</f>
        <v>1</v>
      </c>
      <c r="E13" s="56" t="n">
        <f aca="false">COUNTIF('Feira - Problemas'!$E$5:$E$500,"Ocorrendo hoje")</f>
        <v>1</v>
      </c>
      <c r="F13" s="56" t="n">
        <f aca="false">COUNTIF('Feira - Problemas'!$J$5:$J$500,"Crítica")+COUNTIF('Feira - Problemas'!$J$5:$J$500,"Alta")</f>
        <v>1</v>
      </c>
      <c r="G13" s="56" t="n">
        <f aca="false">COUNTIF('Feira - Problemas'!$M$5:$M$500,"Resolvido")</f>
        <v>0</v>
      </c>
      <c r="H13" s="56" t="n">
        <f aca="false">D13-COUNTIF('Feira - Problemas'!$N$5:$N$500,"&gt;0")</f>
        <v>0</v>
      </c>
      <c r="I13" s="57" t="n">
        <f aca="false">IF(D13=0,0,1-H13/D13)</f>
        <v>1</v>
      </c>
      <c r="J13" s="56" t="n">
        <f aca="false">COUNTA('Feira - Soluções'!$B$5:$B$500)</f>
        <v>1</v>
      </c>
      <c r="K13" s="56" t="n">
        <f aca="false">COUNTIF('Feira - Soluções'!$M$5:$M$500,"*Quick win*")</f>
        <v>0</v>
      </c>
      <c r="L13" s="56" t="n">
        <f aca="false">COUNTIF('Feira - Soluções'!$P$5:$P$500,"Em implantação")</f>
        <v>0</v>
      </c>
      <c r="M13" s="56" t="n">
        <f aca="false">COUNTIF('Feira - Soluções'!$P$5:$P$500,"Implantada")</f>
        <v>0</v>
      </c>
    </row>
    <row r="14" customFormat="false" ht="24" hidden="false" customHeight="true" outlineLevel="0" collapsed="false">
      <c r="B14" s="62" t="s">
        <v>92</v>
      </c>
      <c r="C14" s="62"/>
      <c r="D14" s="59" t="n">
        <f aca="false">COUNTA('Inova - Problemas'!$B$5:$B$500)</f>
        <v>1</v>
      </c>
      <c r="E14" s="59" t="n">
        <f aca="false">COUNTIF('Inova - Problemas'!$E$5:$E$500,"Ocorrendo hoje")</f>
        <v>0</v>
      </c>
      <c r="F14" s="59" t="n">
        <f aca="false">COUNTIF('Inova - Problemas'!$J$5:$J$500,"Crítica")+COUNTIF('Inova - Problemas'!$J$5:$J$500,"Alta")</f>
        <v>1</v>
      </c>
      <c r="G14" s="59" t="n">
        <f aca="false">COUNTIF('Inova - Problemas'!$M$5:$M$500,"Resolvido")</f>
        <v>0</v>
      </c>
      <c r="H14" s="59" t="n">
        <f aca="false">D14-COUNTIF('Inova - Problemas'!$N$5:$N$500,"&gt;0")</f>
        <v>0</v>
      </c>
      <c r="I14" s="60" t="n">
        <f aca="false">IF(D14=0,0,1-H14/D14)</f>
        <v>1</v>
      </c>
      <c r="J14" s="59" t="n">
        <f aca="false">COUNTA('Inova - Soluções'!$B$5:$B$500)</f>
        <v>1</v>
      </c>
      <c r="K14" s="59" t="n">
        <f aca="false">COUNTIF('Inova - Soluções'!$M$5:$M$500,"*Quick win*")</f>
        <v>0</v>
      </c>
      <c r="L14" s="59" t="n">
        <f aca="false">COUNTIF('Inova - Soluções'!$P$5:$P$500,"Em implantação")</f>
        <v>0</v>
      </c>
      <c r="M14" s="59" t="n">
        <f aca="false">COUNTIF('Inova - Soluções'!$P$5:$P$500,"Implantada")</f>
        <v>0</v>
      </c>
    </row>
    <row r="15" customFormat="false" ht="24" hidden="false" customHeight="true" outlineLevel="0" collapsed="false">
      <c r="B15" s="63" t="s">
        <v>93</v>
      </c>
      <c r="C15" s="63"/>
      <c r="D15" s="56" t="n">
        <f aca="false">COUNTA('Sensibilizando - Problemas'!$B$5:$B$500)</f>
        <v>1</v>
      </c>
      <c r="E15" s="56" t="n">
        <f aca="false">COUNTIF('Sensibilizando - Problemas'!$E$5:$E$500,"Ocorrendo hoje")</f>
        <v>1</v>
      </c>
      <c r="F15" s="56" t="n">
        <f aca="false">COUNTIF('Sensibilizando - Problemas'!$J$5:$J$500,"Crítica")+COUNTIF('Sensibilizando - Problemas'!$J$5:$J$500,"Alta")</f>
        <v>1</v>
      </c>
      <c r="G15" s="56" t="n">
        <f aca="false">COUNTIF('Sensibilizando - Problemas'!$M$5:$M$500,"Resolvido")</f>
        <v>0</v>
      </c>
      <c r="H15" s="56" t="n">
        <f aca="false">D15-COUNTIF('Sensibilizando - Problemas'!$N$5:$N$500,"&gt;0")</f>
        <v>0</v>
      </c>
      <c r="I15" s="57" t="n">
        <f aca="false">IF(D15=0,0,1-H15/D15)</f>
        <v>1</v>
      </c>
      <c r="J15" s="56" t="n">
        <f aca="false">COUNTA('Sensibilizando - Soluções'!$B$5:$B$500)</f>
        <v>1</v>
      </c>
      <c r="K15" s="56" t="n">
        <f aca="false">COUNTIF('Sensibilizando - Soluções'!$M$5:$M$500,"*Quick win*")</f>
        <v>0</v>
      </c>
      <c r="L15" s="56" t="n">
        <f aca="false">COUNTIF('Sensibilizando - Soluções'!$P$5:$P$500,"Em implantação")</f>
        <v>1</v>
      </c>
      <c r="M15" s="56" t="n">
        <f aca="false">COUNTIF('Sensibilizando - Soluções'!$P$5:$P$500,"Implantada")</f>
        <v>0</v>
      </c>
    </row>
    <row r="16" customFormat="false" ht="25.5" hidden="false" customHeight="true" outlineLevel="0" collapsed="false">
      <c r="B16" s="64" t="s">
        <v>94</v>
      </c>
      <c r="C16" s="64"/>
      <c r="D16" s="65" t="n">
        <f aca="false">SUM(D11:D15)</f>
        <v>5</v>
      </c>
      <c r="E16" s="65" t="n">
        <f aca="false">SUM(E11:E15)</f>
        <v>4</v>
      </c>
      <c r="F16" s="65" t="n">
        <f aca="false">SUM(F11:F15)</f>
        <v>5</v>
      </c>
      <c r="G16" s="65" t="n">
        <f aca="false">SUM(G11:G15)</f>
        <v>0</v>
      </c>
      <c r="H16" s="65" t="n">
        <f aca="false">SUM(H11:H15)</f>
        <v>0</v>
      </c>
      <c r="I16" s="66" t="n">
        <f aca="false">IF(D16=0,0,1-H16/D16)</f>
        <v>1</v>
      </c>
      <c r="J16" s="65" t="n">
        <f aca="false">SUM(J11:J15)</f>
        <v>5</v>
      </c>
      <c r="K16" s="65" t="n">
        <f aca="false">SUM(K11:K15)</f>
        <v>1</v>
      </c>
      <c r="L16" s="65" t="n">
        <f aca="false">SUM(L11:L15)</f>
        <v>1</v>
      </c>
      <c r="M16" s="65" t="n">
        <f aca="false">SUM(M11:M15)</f>
        <v>0</v>
      </c>
    </row>
    <row r="19" customFormat="false" ht="21.75" hidden="false" customHeight="true" outlineLevel="0" collapsed="false">
      <c r="B19" s="7" t="s">
        <v>95</v>
      </c>
      <c r="C19" s="8"/>
      <c r="D19" s="8"/>
      <c r="E19" s="8"/>
      <c r="F19" s="8"/>
      <c r="G19" s="8"/>
    </row>
    <row r="20" customFormat="false" ht="15" hidden="false" customHeight="true" outlineLevel="0" collapsed="false">
      <c r="B20" s="52" t="s">
        <v>78</v>
      </c>
      <c r="C20" s="52"/>
      <c r="D20" s="67" t="s">
        <v>43</v>
      </c>
      <c r="E20" s="68" t="s">
        <v>45</v>
      </c>
      <c r="F20" s="69" t="s">
        <v>47</v>
      </c>
      <c r="G20" s="70" t="s">
        <v>49</v>
      </c>
    </row>
    <row r="21" customFormat="false" ht="15" hidden="false" customHeight="false" outlineLevel="0" collapsed="false">
      <c r="B21" s="71" t="s">
        <v>89</v>
      </c>
      <c r="C21" s="71"/>
      <c r="D21" s="72" t="n">
        <f aca="false">COUNTIF('Geral - Problemas'!$J$5:$J$500,"Crítica")</f>
        <v>1</v>
      </c>
      <c r="E21" s="72" t="n">
        <f aca="false">COUNTIF('Geral - Problemas'!$J$5:$J$500,"Alta")</f>
        <v>0</v>
      </c>
      <c r="F21" s="72" t="n">
        <f aca="false">COUNTIF('Geral - Problemas'!$J$5:$J$500,"Média")</f>
        <v>0</v>
      </c>
      <c r="G21" s="72" t="n">
        <f aca="false">COUNTIF('Geral - Problemas'!$J$5:$J$500,"Baixa")</f>
        <v>0</v>
      </c>
    </row>
    <row r="22" customFormat="false" ht="15" hidden="false" customHeight="false" outlineLevel="0" collapsed="false">
      <c r="B22" s="73" t="s">
        <v>90</v>
      </c>
      <c r="C22" s="73"/>
      <c r="D22" s="74" t="n">
        <f aca="false">COUNTIF('Mentoring - Problemas'!$J$5:$J$500,"Crítica")</f>
        <v>0</v>
      </c>
      <c r="E22" s="74" t="n">
        <f aca="false">COUNTIF('Mentoring - Problemas'!$J$5:$J$500,"Alta")</f>
        <v>1</v>
      </c>
      <c r="F22" s="74" t="n">
        <f aca="false">COUNTIF('Mentoring - Problemas'!$J$5:$J$500,"Média")</f>
        <v>0</v>
      </c>
      <c r="G22" s="74" t="n">
        <f aca="false">COUNTIF('Mentoring - Problemas'!$J$5:$J$500,"Baixa")</f>
        <v>0</v>
      </c>
    </row>
    <row r="23" customFormat="false" ht="15" hidden="false" customHeight="false" outlineLevel="0" collapsed="false">
      <c r="B23" s="75" t="s">
        <v>91</v>
      </c>
      <c r="C23" s="75"/>
      <c r="D23" s="72" t="n">
        <f aca="false">COUNTIF('Feira - Problemas'!$J$5:$J$500,"Crítica")</f>
        <v>1</v>
      </c>
      <c r="E23" s="72" t="n">
        <f aca="false">COUNTIF('Feira - Problemas'!$J$5:$J$500,"Alta")</f>
        <v>0</v>
      </c>
      <c r="F23" s="72" t="n">
        <f aca="false">COUNTIF('Feira - Problemas'!$J$5:$J$500,"Média")</f>
        <v>0</v>
      </c>
      <c r="G23" s="72" t="n">
        <f aca="false">COUNTIF('Feira - Problemas'!$J$5:$J$500,"Baixa")</f>
        <v>0</v>
      </c>
    </row>
    <row r="24" customFormat="false" ht="15" hidden="false" customHeight="false" outlineLevel="0" collapsed="false">
      <c r="B24" s="76" t="s">
        <v>92</v>
      </c>
      <c r="C24" s="76"/>
      <c r="D24" s="74" t="n">
        <f aca="false">COUNTIF('Inova - Problemas'!$J$5:$J$500,"Crítica")</f>
        <v>0</v>
      </c>
      <c r="E24" s="74" t="n">
        <f aca="false">COUNTIF('Inova - Problemas'!$J$5:$J$500,"Alta")</f>
        <v>1</v>
      </c>
      <c r="F24" s="74" t="n">
        <f aca="false">COUNTIF('Inova - Problemas'!$J$5:$J$500,"Média")</f>
        <v>0</v>
      </c>
      <c r="G24" s="74" t="n">
        <f aca="false">COUNTIF('Inova - Problemas'!$J$5:$J$500,"Baixa")</f>
        <v>0</v>
      </c>
    </row>
    <row r="25" customFormat="false" ht="15" hidden="false" customHeight="false" outlineLevel="0" collapsed="false">
      <c r="B25" s="77" t="s">
        <v>93</v>
      </c>
      <c r="C25" s="77"/>
      <c r="D25" s="72" t="n">
        <f aca="false">COUNTIF('Sensibilizando - Problemas'!$J$5:$J$500,"Crítica")</f>
        <v>0</v>
      </c>
      <c r="E25" s="72" t="n">
        <f aca="false">COUNTIF('Sensibilizando - Problemas'!$J$5:$J$500,"Alta")</f>
        <v>1</v>
      </c>
      <c r="F25" s="72" t="n">
        <f aca="false">COUNTIF('Sensibilizando - Problemas'!$J$5:$J$500,"Média")</f>
        <v>0</v>
      </c>
      <c r="G25" s="72" t="n">
        <f aca="false">COUNTIF('Sensibilizando - Problemas'!$J$5:$J$500,"Baixa")</f>
        <v>0</v>
      </c>
    </row>
    <row r="34" customFormat="false" ht="21.75" hidden="false" customHeight="true" outlineLevel="0" collapsed="false">
      <c r="B34" s="7" t="s">
        <v>96</v>
      </c>
      <c r="C34" s="8"/>
      <c r="D34" s="8"/>
      <c r="E34" s="8"/>
      <c r="F34" s="8"/>
      <c r="G34" s="8"/>
    </row>
    <row r="35" customFormat="false" ht="15" hidden="false" customHeight="true" outlineLevel="0" collapsed="false">
      <c r="B35" s="52" t="s">
        <v>97</v>
      </c>
      <c r="C35" s="52"/>
      <c r="D35" s="52" t="s">
        <v>98</v>
      </c>
    </row>
    <row r="36" customFormat="false" ht="15" hidden="false" customHeight="false" outlineLevel="0" collapsed="false">
      <c r="B36" s="75" t="s">
        <v>99</v>
      </c>
      <c r="C36" s="75"/>
      <c r="D36" s="72" t="n">
        <f aca="false">COUNTIF('Geral - Soluções'!$P$5:$P$500,"Ideia")+COUNTIF('Mentoring - Soluções'!$P$5:$P$500,"Ideia")+COUNTIF('Feira - Soluções'!$P$5:$P$500,"Ideia")+COUNTIF('Inova - Soluções'!$P$5:$P$500,"Ideia")+COUNTIF('Sensibilizando - Soluções'!$P$5:$P$500,"Ideia")</f>
        <v>1</v>
      </c>
    </row>
    <row r="37" customFormat="false" ht="15" hidden="false" customHeight="false" outlineLevel="0" collapsed="false">
      <c r="B37" s="78" t="s">
        <v>100</v>
      </c>
      <c r="C37" s="78"/>
      <c r="D37" s="74" t="n">
        <f aca="false">COUNTIF('Geral - Soluções'!$P$5:$P$500,"Em análise")+COUNTIF('Mentoring - Soluções'!$P$5:$P$500,"Em análise")+COUNTIF('Feira - Soluções'!$P$5:$P$500,"Em análise")+COUNTIF('Inova - Soluções'!$P$5:$P$500,"Em análise")+COUNTIF('Sensibilizando - Soluções'!$P$5:$P$500,"Em análise")</f>
        <v>2</v>
      </c>
    </row>
    <row r="38" customFormat="false" ht="15" hidden="false" customHeight="false" outlineLevel="0" collapsed="false">
      <c r="B38" s="73" t="s">
        <v>101</v>
      </c>
      <c r="C38" s="73"/>
      <c r="D38" s="72" t="n">
        <f aca="false">COUNTIF('Geral - Soluções'!$P$5:$P$500,"Aprovada")+COUNTIF('Mentoring - Soluções'!$P$5:$P$500,"Aprovada")+COUNTIF('Feira - Soluções'!$P$5:$P$500,"Aprovada")+COUNTIF('Inova - Soluções'!$P$5:$P$500,"Aprovada")+COUNTIF('Sensibilizando - Soluções'!$P$5:$P$500,"Aprovada")</f>
        <v>1</v>
      </c>
    </row>
    <row r="39" customFormat="false" ht="15" hidden="false" customHeight="false" outlineLevel="0" collapsed="false">
      <c r="B39" s="76" t="s">
        <v>87</v>
      </c>
      <c r="C39" s="76"/>
      <c r="D39" s="74" t="n">
        <f aca="false">COUNTIF('Geral - Soluções'!$P$5:$P$500,"Em implantação")+COUNTIF('Mentoring - Soluções'!$P$5:$P$500,"Em implantação")+COUNTIF('Feira - Soluções'!$P$5:$P$500,"Em implantação")+COUNTIF('Inova - Soluções'!$P$5:$P$500,"Em implantação")+COUNTIF('Sensibilizando - Soluções'!$P$5:$P$500,"Em implantação")</f>
        <v>1</v>
      </c>
    </row>
    <row r="40" customFormat="false" ht="15" hidden="false" customHeight="false" outlineLevel="0" collapsed="false">
      <c r="B40" s="79" t="s">
        <v>102</v>
      </c>
      <c r="C40" s="79"/>
      <c r="D40" s="72" t="n">
        <f aca="false">COUNTIF('Geral - Soluções'!$P$5:$P$500,"Implantada")+COUNTIF('Mentoring - Soluções'!$P$5:$P$500,"Implantada")+COUNTIF('Feira - Soluções'!$P$5:$P$500,"Implantada")+COUNTIF('Inova - Soluções'!$P$5:$P$500,"Implantada")+COUNTIF('Sensibilizando - Soluções'!$P$5:$P$500,"Implantada")</f>
        <v>0</v>
      </c>
    </row>
    <row r="41" customFormat="false" ht="15" hidden="false" customHeight="false" outlineLevel="0" collapsed="false">
      <c r="B41" s="80" t="s">
        <v>103</v>
      </c>
      <c r="C41" s="80"/>
      <c r="D41" s="74" t="n">
        <f aca="false">COUNTIF('Geral - Soluções'!$P$5:$P$500,"Descartada")+COUNTIF('Mentoring - Soluções'!$P$5:$P$500,"Descartada")+COUNTIF('Feira - Soluções'!$P$5:$P$500,"Descartada")+COUNTIF('Inova - Soluções'!$P$5:$P$500,"Descartada")+COUNTIF('Sensibilizando - Soluções'!$P$5:$P$500,"Descartada")</f>
        <v>0</v>
      </c>
    </row>
    <row r="44" customFormat="false" ht="21.75" hidden="false" customHeight="true" outlineLevel="0" collapsed="false">
      <c r="B44" s="7" t="s">
        <v>104</v>
      </c>
      <c r="C44" s="8"/>
      <c r="D44" s="8"/>
      <c r="E44" s="8"/>
      <c r="F44" s="8"/>
      <c r="G44" s="8"/>
    </row>
    <row r="45" customFormat="false" ht="15" hidden="false" customHeight="true" outlineLevel="0" collapsed="false">
      <c r="B45" s="52" t="s">
        <v>105</v>
      </c>
      <c r="C45" s="52"/>
      <c r="D45" s="52" t="s">
        <v>98</v>
      </c>
    </row>
    <row r="46" customFormat="false" ht="15" hidden="false" customHeight="false" outlineLevel="0" collapsed="false">
      <c r="B46" s="80" t="s">
        <v>106</v>
      </c>
      <c r="C46" s="80"/>
      <c r="D46" s="72" t="n">
        <f aca="false">COUNTIF('Fontes e Parcerias'!$L$5:$L$500,"Mapeada")</f>
        <v>0</v>
      </c>
    </row>
    <row r="47" customFormat="false" ht="15" hidden="false" customHeight="false" outlineLevel="0" collapsed="false">
      <c r="B47" s="78" t="s">
        <v>107</v>
      </c>
      <c r="C47" s="78"/>
      <c r="D47" s="74" t="n">
        <f aca="false">COUNTIF('Fontes e Parcerias'!$L$5:$L$500,"Contato iniciado")</f>
        <v>0</v>
      </c>
    </row>
    <row r="48" customFormat="false" ht="15" hidden="false" customHeight="false" outlineLevel="0" collapsed="false">
      <c r="B48" s="73" t="s">
        <v>108</v>
      </c>
      <c r="C48" s="73"/>
      <c r="D48" s="72" t="n">
        <f aca="false">COUNTIF('Fontes e Parcerias'!$L$5:$L$500,"Conversa realizada")</f>
        <v>1</v>
      </c>
    </row>
    <row r="49" customFormat="false" ht="15" hidden="false" customHeight="false" outlineLevel="0" collapsed="false">
      <c r="B49" s="76" t="s">
        <v>109</v>
      </c>
      <c r="C49" s="76"/>
      <c r="D49" s="74" t="n">
        <f aca="false">COUNTIF('Fontes e Parcerias'!$L$5:$L$500,"Parceria em negociação")</f>
        <v>0</v>
      </c>
    </row>
    <row r="50" customFormat="false" ht="15" hidden="false" customHeight="false" outlineLevel="0" collapsed="false">
      <c r="B50" s="79" t="s">
        <v>110</v>
      </c>
      <c r="C50" s="79"/>
      <c r="D50" s="72" t="n">
        <f aca="false">COUNTIF('Fontes e Parcerias'!$L$5:$L$500,"Parceria ativa")</f>
        <v>0</v>
      </c>
    </row>
    <row r="51" customFormat="false" ht="15" hidden="false" customHeight="false" outlineLevel="0" collapsed="false">
      <c r="B51" s="81" t="s">
        <v>111</v>
      </c>
      <c r="C51" s="81"/>
      <c r="D51" s="74" t="n">
        <f aca="false">COUNTIF('Fontes e Parcerias'!$L$5:$L$500,"Sem retorno")</f>
        <v>0</v>
      </c>
    </row>
    <row r="53" customFormat="false" ht="15" hidden="false" customHeight="false" outlineLevel="0" collapsed="false">
      <c r="B53" s="82" t="s">
        <v>112</v>
      </c>
    </row>
  </sheetData>
  <mergeCells count="39">
    <mergeCell ref="B5:C5"/>
    <mergeCell ref="D5:E5"/>
    <mergeCell ref="F5:G5"/>
    <mergeCell ref="H5:I5"/>
    <mergeCell ref="J5:K5"/>
    <mergeCell ref="L5:M5"/>
    <mergeCell ref="B6:C7"/>
    <mergeCell ref="D6:E7"/>
    <mergeCell ref="F6:G7"/>
    <mergeCell ref="H6:I7"/>
    <mergeCell ref="J6:K7"/>
    <mergeCell ref="L6:M7"/>
    <mergeCell ref="B10:C10"/>
    <mergeCell ref="B11:C11"/>
    <mergeCell ref="B12:C12"/>
    <mergeCell ref="B13:C13"/>
    <mergeCell ref="B14:C14"/>
    <mergeCell ref="B15:C15"/>
    <mergeCell ref="B16:C16"/>
    <mergeCell ref="B20:C20"/>
    <mergeCell ref="B21:C21"/>
    <mergeCell ref="B22:C22"/>
    <mergeCell ref="B23:C23"/>
    <mergeCell ref="B24:C24"/>
    <mergeCell ref="B25:C25"/>
    <mergeCell ref="B35:C35"/>
    <mergeCell ref="B36:C36"/>
    <mergeCell ref="B37:C37"/>
    <mergeCell ref="B38:C38"/>
    <mergeCell ref="B39:C39"/>
    <mergeCell ref="B40:C40"/>
    <mergeCell ref="B41:C41"/>
    <mergeCell ref="B45:C45"/>
    <mergeCell ref="B46:C46"/>
    <mergeCell ref="B47:C47"/>
    <mergeCell ref="B48:C48"/>
    <mergeCell ref="B49:C49"/>
    <mergeCell ref="B50:C50"/>
    <mergeCell ref="B51:C51"/>
  </mergeCells>
  <conditionalFormatting sqref="I11:I16">
    <cfRule type="expression" priority="2" aboveAverage="0" equalAverage="0" bottom="0" percent="0" rank="0" text="" dxfId="0">
      <formula>AND($D11&gt;0,$I11&lt;0.5)</formula>
    </cfRule>
  </conditionalFormatting>
  <conditionalFormatting sqref="I11:I15">
    <cfRule type="expression" priority="3" aboveAverage="0" equalAverage="0" bottom="0" percent="0" rank="0" text="" dxfId="1">
      <formula>AND($D11&gt;0,$I11&gt;=0.8)</formula>
    </cfRule>
  </conditionalFormatting>
  <conditionalFormatting sqref="H11:H15">
    <cfRule type="expression" priority="4" aboveAverage="0" equalAverage="0" bottom="0" percent="0" rank="0" text="" dxfId="0">
      <formula>$H11&gt;0</formula>
    </cfRule>
  </conditionalFormatting>
  <hyperlinks>
    <hyperlink ref="M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70"/>
    <pageSetUpPr fitToPage="true"/>
  </sheetPr>
  <dimension ref="A1:S15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.51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28"/>
    <col collapsed="false" customWidth="true" hidden="false" outlineLevel="0" max="11" min="11" style="0" width="24"/>
    <col collapsed="false" customWidth="true" hidden="false" outlineLevel="0" max="12" min="12" style="0" width="19"/>
    <col collapsed="false" customWidth="true" hidden="false" outlineLevel="0" max="13" min="13" style="0" width="11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4"/>
    <col collapsed="false" customWidth="true" hidden="true" outlineLevel="1" max="19" min="19" style="0" width="30"/>
  </cols>
  <sheetData>
    <row r="1" customFormat="false" ht="31.5" hidden="false" customHeight="true" outlineLevel="0" collapsed="false">
      <c r="A1" s="83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9.5" hidden="false" customHeight="true" outlineLevel="0" collapsed="false">
      <c r="A2" s="84" t="s">
        <v>70</v>
      </c>
      <c r="B2" s="85" t="str">
        <f aca="false">"Banco de organizações (EJs, extensão, empresas) de onde vêm as ideias   ·   "&amp;COUNTA(B5:B500)&amp;" registro(s)"</f>
        <v>Banco de organizações (EJs, extensão, empresas) de onde vêm as ideias   ·   1 registro(s)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</row>
    <row r="3" customFormat="false" ht="16.5" hidden="false" customHeight="true" outlineLevel="0" collapsed="false">
      <c r="A3" s="87" t="s">
        <v>114</v>
      </c>
      <c r="B3" s="87"/>
      <c r="C3" s="87"/>
      <c r="D3" s="87"/>
      <c r="E3" s="87"/>
      <c r="F3" s="87"/>
      <c r="G3" s="88" t="s">
        <v>115</v>
      </c>
      <c r="H3" s="88"/>
      <c r="I3" s="88"/>
      <c r="J3" s="88"/>
      <c r="K3" s="89" t="s">
        <v>116</v>
      </c>
      <c r="L3" s="89"/>
      <c r="M3" s="89"/>
      <c r="N3" s="89"/>
      <c r="O3" s="89"/>
      <c r="P3" s="89"/>
      <c r="Q3" s="90" t="s">
        <v>117</v>
      </c>
      <c r="R3" s="90"/>
      <c r="S3" s="90"/>
    </row>
    <row r="4" customFormat="false" ht="42" hidden="false" customHeight="true" outlineLevel="0" collapsed="false">
      <c r="A4" s="91" t="s">
        <v>118</v>
      </c>
      <c r="B4" s="91" t="s">
        <v>119</v>
      </c>
      <c r="C4" s="91" t="s">
        <v>120</v>
      </c>
      <c r="D4" s="91" t="s">
        <v>121</v>
      </c>
      <c r="E4" s="91" t="s">
        <v>122</v>
      </c>
      <c r="F4" s="91" t="s">
        <v>123</v>
      </c>
      <c r="G4" s="91" t="s">
        <v>124</v>
      </c>
      <c r="H4" s="91" t="s">
        <v>125</v>
      </c>
      <c r="I4" s="91" t="s">
        <v>126</v>
      </c>
      <c r="J4" s="91" t="s">
        <v>127</v>
      </c>
      <c r="K4" s="91" t="s">
        <v>128</v>
      </c>
      <c r="L4" s="91" t="s">
        <v>129</v>
      </c>
      <c r="M4" s="92" t="s">
        <v>130</v>
      </c>
      <c r="N4" s="92" t="s">
        <v>131</v>
      </c>
      <c r="O4" s="91" t="s">
        <v>132</v>
      </c>
      <c r="P4" s="92" t="s">
        <v>133</v>
      </c>
      <c r="Q4" s="92" t="s">
        <v>134</v>
      </c>
      <c r="R4" s="91" t="s">
        <v>135</v>
      </c>
      <c r="S4" s="92" t="s">
        <v>136</v>
      </c>
    </row>
    <row r="5" customFormat="false" ht="23.85" hidden="false" customHeight="false" outlineLevel="0" collapsed="false">
      <c r="A5" s="93" t="s">
        <v>137</v>
      </c>
      <c r="B5" s="94" t="s">
        <v>138</v>
      </c>
      <c r="C5" s="94" t="s">
        <v>139</v>
      </c>
      <c r="D5" s="94" t="s">
        <v>140</v>
      </c>
      <c r="E5" s="94" t="s">
        <v>141</v>
      </c>
      <c r="F5" s="94" t="s">
        <v>142</v>
      </c>
      <c r="G5" s="94" t="s">
        <v>143</v>
      </c>
      <c r="H5" s="94" t="s">
        <v>144</v>
      </c>
      <c r="I5" s="94" t="s">
        <v>145</v>
      </c>
      <c r="J5" s="94" t="s">
        <v>146</v>
      </c>
      <c r="K5" s="94" t="s">
        <v>147</v>
      </c>
      <c r="L5" s="95" t="s">
        <v>108</v>
      </c>
      <c r="M5" s="96" t="n">
        <f aca="false">IF(B5="","",COUNTIF(Conversas!$B$5:$B$500,A5&amp;"*"))</f>
        <v>1</v>
      </c>
      <c r="N5" s="97" t="n">
        <f aca="false">IF(B5="","",IF(M5=0,"",_xlfn.MAXIFS(Conversas!$C$5:$C$500,Conversas!$B$5:$B$500,A5&amp;"*")))</f>
        <v>46290</v>
      </c>
      <c r="O5" s="98" t="n">
        <v>46307</v>
      </c>
      <c r="P5" s="99" t="str">
        <f aca="true">IF(B5="","",IF(O5="","Sem data",IF(O5&lt;TODAY(),"⚠ Atrasado",IF(O5-TODAY()&lt;=7,"Esta semana","Agendado"))))</f>
        <v>Agendado</v>
      </c>
      <c r="Q5" s="96" t="n">
        <f aca="false">IF(B5="","",COUNTIF('Geral - Soluções'!$E$5:$E$500,A5&amp;"*")+COUNTIF('Mentoring - Soluções'!$E$5:$E$500,A5&amp;"*")+COUNTIF('Feira - Soluções'!$E$5:$E$500,A5&amp;"*")+COUNTIF('Inova - Soluções'!$E$5:$E$500,A5&amp;"*")+COUNTIF('Sensibilizando - Soluções'!$E$5:$E$500,A5&amp;"*"))</f>
        <v>5</v>
      </c>
      <c r="R5" s="94" t="s">
        <v>148</v>
      </c>
      <c r="S5" s="100" t="str">
        <f aca="false">IF(B5="","",A5&amp;" · "&amp;B5)</f>
        <v>FNT-001 · [EXEMPLO] Empresa Júnior de Administração – Universidade X</v>
      </c>
    </row>
    <row r="6" customFormat="false" ht="15" hidden="false" customHeight="false" outlineLevel="0" collapsed="false">
      <c r="A6" s="101" t="s">
        <v>149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3"/>
      <c r="M6" s="96" t="str">
        <f aca="false">IF(B6="","",COUNTIF(Conversas!$B$5:$B$500,A6&amp;"*"))</f>
        <v/>
      </c>
      <c r="N6" s="97" t="str">
        <f aca="false">IF(B6="","",IF(M6=0,"",_xlfn.MAXIFS(Conversas!$C$5:$C$500,Conversas!$B$5:$B$500,A6&amp;"*")))</f>
        <v/>
      </c>
      <c r="O6" s="104"/>
      <c r="P6" s="99" t="str">
        <f aca="true">IF(B6="","",IF(O6="","Sem data",IF(O6&lt;TODAY(),"⚠ Atrasado",IF(O6-TODAY()&lt;=7,"Esta semana","Agendado"))))</f>
        <v/>
      </c>
      <c r="Q6" s="96" t="str">
        <f aca="false">IF(B6="","",COUNTIF('Geral - Soluções'!$E$5:$E$500,A6&amp;"*")+COUNTIF('Mentoring - Soluções'!$E$5:$E$500,A6&amp;"*")+COUNTIF('Feira - Soluções'!$E$5:$E$500,A6&amp;"*")+COUNTIF('Inova - Soluções'!$E$5:$E$500,A6&amp;"*")+COUNTIF('Sensibilizando - Soluções'!$E$5:$E$500,A6&amp;"*"))</f>
        <v/>
      </c>
      <c r="R6" s="102"/>
      <c r="S6" s="100" t="str">
        <f aca="false">IF(B6="","",A6&amp;" · "&amp;B6)</f>
        <v/>
      </c>
    </row>
    <row r="7" customFormat="false" ht="15" hidden="false" customHeight="false" outlineLevel="0" collapsed="false">
      <c r="A7" s="93" t="s">
        <v>150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6"/>
      <c r="M7" s="96" t="str">
        <f aca="false">IF(B7="","",COUNTIF(Conversas!$B$5:$B$500,A7&amp;"*"))</f>
        <v/>
      </c>
      <c r="N7" s="97" t="str">
        <f aca="false">IF(B7="","",IF(M7=0,"",_xlfn.MAXIFS(Conversas!$C$5:$C$500,Conversas!$B$5:$B$500,A7&amp;"*")))</f>
        <v/>
      </c>
      <c r="O7" s="107"/>
      <c r="P7" s="99" t="str">
        <f aca="true">IF(B7="","",IF(O7="","Sem data",IF(O7&lt;TODAY(),"⚠ Atrasado",IF(O7-TODAY()&lt;=7,"Esta semana","Agendado"))))</f>
        <v/>
      </c>
      <c r="Q7" s="96" t="str">
        <f aca="false">IF(B7="","",COUNTIF('Geral - Soluções'!$E$5:$E$500,A7&amp;"*")+COUNTIF('Mentoring - Soluções'!$E$5:$E$500,A7&amp;"*")+COUNTIF('Feira - Soluções'!$E$5:$E$500,A7&amp;"*")+COUNTIF('Inova - Soluções'!$E$5:$E$500,A7&amp;"*")+COUNTIF('Sensibilizando - Soluções'!$E$5:$E$500,A7&amp;"*"))</f>
        <v/>
      </c>
      <c r="R7" s="105"/>
      <c r="S7" s="100" t="str">
        <f aca="false">IF(B7="","",A7&amp;" · "&amp;B7)</f>
        <v/>
      </c>
    </row>
    <row r="8" customFormat="false" ht="15" hidden="false" customHeight="false" outlineLevel="0" collapsed="false">
      <c r="A8" s="101" t="s">
        <v>151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3"/>
      <c r="M8" s="96" t="str">
        <f aca="false">IF(B8="","",COUNTIF(Conversas!$B$5:$B$500,A8&amp;"*"))</f>
        <v/>
      </c>
      <c r="N8" s="97" t="str">
        <f aca="false">IF(B8="","",IF(M8=0,"",_xlfn.MAXIFS(Conversas!$C$5:$C$500,Conversas!$B$5:$B$500,A8&amp;"*")))</f>
        <v/>
      </c>
      <c r="O8" s="104"/>
      <c r="P8" s="99" t="str">
        <f aca="true">IF(B8="","",IF(O8="","Sem data",IF(O8&lt;TODAY(),"⚠ Atrasado",IF(O8-TODAY()&lt;=7,"Esta semana","Agendado"))))</f>
        <v/>
      </c>
      <c r="Q8" s="96" t="str">
        <f aca="false">IF(B8="","",COUNTIF('Geral - Soluções'!$E$5:$E$500,A8&amp;"*")+COUNTIF('Mentoring - Soluções'!$E$5:$E$500,A8&amp;"*")+COUNTIF('Feira - Soluções'!$E$5:$E$500,A8&amp;"*")+COUNTIF('Inova - Soluções'!$E$5:$E$500,A8&amp;"*")+COUNTIF('Sensibilizando - Soluções'!$E$5:$E$500,A8&amp;"*"))</f>
        <v/>
      </c>
      <c r="R8" s="102"/>
      <c r="S8" s="100" t="str">
        <f aca="false">IF(B8="","",A8&amp;" · "&amp;B8)</f>
        <v/>
      </c>
    </row>
    <row r="9" customFormat="false" ht="15" hidden="false" customHeight="false" outlineLevel="0" collapsed="false">
      <c r="A9" s="93" t="s">
        <v>152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6"/>
      <c r="M9" s="96" t="str">
        <f aca="false">IF(B9="","",COUNTIF(Conversas!$B$5:$B$500,A9&amp;"*"))</f>
        <v/>
      </c>
      <c r="N9" s="97" t="str">
        <f aca="false">IF(B9="","",IF(M9=0,"",_xlfn.MAXIFS(Conversas!$C$5:$C$500,Conversas!$B$5:$B$500,A9&amp;"*")))</f>
        <v/>
      </c>
      <c r="O9" s="107"/>
      <c r="P9" s="99" t="str">
        <f aca="true">IF(B9="","",IF(O9="","Sem data",IF(O9&lt;TODAY(),"⚠ Atrasado",IF(O9-TODAY()&lt;=7,"Esta semana","Agendado"))))</f>
        <v/>
      </c>
      <c r="Q9" s="96" t="str">
        <f aca="false">IF(B9="","",COUNTIF('Geral - Soluções'!$E$5:$E$500,A9&amp;"*")+COUNTIF('Mentoring - Soluções'!$E$5:$E$500,A9&amp;"*")+COUNTIF('Feira - Soluções'!$E$5:$E$500,A9&amp;"*")+COUNTIF('Inova - Soluções'!$E$5:$E$500,A9&amp;"*")+COUNTIF('Sensibilizando - Soluções'!$E$5:$E$500,A9&amp;"*"))</f>
        <v/>
      </c>
      <c r="R9" s="105"/>
      <c r="S9" s="100" t="str">
        <f aca="false">IF(B9="","",A9&amp;" · "&amp;B9)</f>
        <v/>
      </c>
    </row>
    <row r="10" customFormat="false" ht="15" hidden="false" customHeight="false" outlineLevel="0" collapsed="false">
      <c r="A10" s="101" t="s">
        <v>153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3"/>
      <c r="M10" s="96" t="str">
        <f aca="false">IF(B10="","",COUNTIF(Conversas!$B$5:$B$500,A10&amp;"*"))</f>
        <v/>
      </c>
      <c r="N10" s="97" t="str">
        <f aca="false">IF(B10="","",IF(M10=0,"",_xlfn.MAXIFS(Conversas!$C$5:$C$500,Conversas!$B$5:$B$500,A10&amp;"*")))</f>
        <v/>
      </c>
      <c r="O10" s="104"/>
      <c r="P10" s="99" t="str">
        <f aca="true">IF(B10="","",IF(O10="","Sem data",IF(O10&lt;TODAY(),"⚠ Atrasado",IF(O10-TODAY()&lt;=7,"Esta semana","Agendado"))))</f>
        <v/>
      </c>
      <c r="Q10" s="96" t="str">
        <f aca="false">IF(B10="","",COUNTIF('Geral - Soluções'!$E$5:$E$500,A10&amp;"*")+COUNTIF('Mentoring - Soluções'!$E$5:$E$500,A10&amp;"*")+COUNTIF('Feira - Soluções'!$E$5:$E$500,A10&amp;"*")+COUNTIF('Inova - Soluções'!$E$5:$E$500,A10&amp;"*")+COUNTIF('Sensibilizando - Soluções'!$E$5:$E$500,A10&amp;"*"))</f>
        <v/>
      </c>
      <c r="R10" s="102"/>
      <c r="S10" s="100" t="str">
        <f aca="false">IF(B10="","",A10&amp;" · "&amp;B10)</f>
        <v/>
      </c>
    </row>
    <row r="11" customFormat="false" ht="15" hidden="false" customHeight="false" outlineLevel="0" collapsed="false">
      <c r="A11" s="93" t="s">
        <v>154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6"/>
      <c r="M11" s="96" t="str">
        <f aca="false">IF(B11="","",COUNTIF(Conversas!$B$5:$B$500,A11&amp;"*"))</f>
        <v/>
      </c>
      <c r="N11" s="97" t="str">
        <f aca="false">IF(B11="","",IF(M11=0,"",_xlfn.MAXIFS(Conversas!$C$5:$C$500,Conversas!$B$5:$B$500,A11&amp;"*")))</f>
        <v/>
      </c>
      <c r="O11" s="107"/>
      <c r="P11" s="99" t="str">
        <f aca="true">IF(B11="","",IF(O11="","Sem data",IF(O11&lt;TODAY(),"⚠ Atrasado",IF(O11-TODAY()&lt;=7,"Esta semana","Agendado"))))</f>
        <v/>
      </c>
      <c r="Q11" s="96" t="str">
        <f aca="false">IF(B11="","",COUNTIF('Geral - Soluções'!$E$5:$E$500,A11&amp;"*")+COUNTIF('Mentoring - Soluções'!$E$5:$E$500,A11&amp;"*")+COUNTIF('Feira - Soluções'!$E$5:$E$500,A11&amp;"*")+COUNTIF('Inova - Soluções'!$E$5:$E$500,A11&amp;"*")+COUNTIF('Sensibilizando - Soluções'!$E$5:$E$500,A11&amp;"*"))</f>
        <v/>
      </c>
      <c r="R11" s="105"/>
      <c r="S11" s="100" t="str">
        <f aca="false">IF(B11="","",A11&amp;" · "&amp;B11)</f>
        <v/>
      </c>
    </row>
    <row r="12" customFormat="false" ht="15" hidden="false" customHeight="false" outlineLevel="0" collapsed="false">
      <c r="A12" s="101" t="s">
        <v>155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3"/>
      <c r="M12" s="96" t="str">
        <f aca="false">IF(B12="","",COUNTIF(Conversas!$B$5:$B$500,A12&amp;"*"))</f>
        <v/>
      </c>
      <c r="N12" s="97" t="str">
        <f aca="false">IF(B12="","",IF(M12=0,"",_xlfn.MAXIFS(Conversas!$C$5:$C$500,Conversas!$B$5:$B$500,A12&amp;"*")))</f>
        <v/>
      </c>
      <c r="O12" s="104"/>
      <c r="P12" s="99" t="str">
        <f aca="true">IF(B12="","",IF(O12="","Sem data",IF(O12&lt;TODAY(),"⚠ Atrasado",IF(O12-TODAY()&lt;=7,"Esta semana","Agendado"))))</f>
        <v/>
      </c>
      <c r="Q12" s="96" t="str">
        <f aca="false">IF(B12="","",COUNTIF('Geral - Soluções'!$E$5:$E$500,A12&amp;"*")+COUNTIF('Mentoring - Soluções'!$E$5:$E$500,A12&amp;"*")+COUNTIF('Feira - Soluções'!$E$5:$E$500,A12&amp;"*")+COUNTIF('Inova - Soluções'!$E$5:$E$500,A12&amp;"*")+COUNTIF('Sensibilizando - Soluções'!$E$5:$E$500,A12&amp;"*"))</f>
        <v/>
      </c>
      <c r="R12" s="102"/>
      <c r="S12" s="100" t="str">
        <f aca="false">IF(B12="","",A12&amp;" · "&amp;B12)</f>
        <v/>
      </c>
    </row>
    <row r="13" customFormat="false" ht="15" hidden="false" customHeight="false" outlineLevel="0" collapsed="false">
      <c r="A13" s="93" t="s">
        <v>156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6"/>
      <c r="M13" s="96" t="str">
        <f aca="false">IF(B13="","",COUNTIF(Conversas!$B$5:$B$500,A13&amp;"*"))</f>
        <v/>
      </c>
      <c r="N13" s="97" t="str">
        <f aca="false">IF(B13="","",IF(M13=0,"",_xlfn.MAXIFS(Conversas!$C$5:$C$500,Conversas!$B$5:$B$500,A13&amp;"*")))</f>
        <v/>
      </c>
      <c r="O13" s="107"/>
      <c r="P13" s="99" t="str">
        <f aca="true">IF(B13="","",IF(O13="","Sem data",IF(O13&lt;TODAY(),"⚠ Atrasado",IF(O13-TODAY()&lt;=7,"Esta semana","Agendado"))))</f>
        <v/>
      </c>
      <c r="Q13" s="96" t="str">
        <f aca="false">IF(B13="","",COUNTIF('Geral - Soluções'!$E$5:$E$500,A13&amp;"*")+COUNTIF('Mentoring - Soluções'!$E$5:$E$500,A13&amp;"*")+COUNTIF('Feira - Soluções'!$E$5:$E$500,A13&amp;"*")+COUNTIF('Inova - Soluções'!$E$5:$E$500,A13&amp;"*")+COUNTIF('Sensibilizando - Soluções'!$E$5:$E$500,A13&amp;"*"))</f>
        <v/>
      </c>
      <c r="R13" s="105"/>
      <c r="S13" s="100" t="str">
        <f aca="false">IF(B13="","",A13&amp;" · "&amp;B13)</f>
        <v/>
      </c>
    </row>
    <row r="14" customFormat="false" ht="15" hidden="false" customHeight="false" outlineLevel="0" collapsed="false">
      <c r="A14" s="101" t="s">
        <v>157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96" t="str">
        <f aca="false">IF(B14="","",COUNTIF(Conversas!$B$5:$B$500,A14&amp;"*"))</f>
        <v/>
      </c>
      <c r="N14" s="97" t="str">
        <f aca="false">IF(B14="","",IF(M14=0,"",_xlfn.MAXIFS(Conversas!$C$5:$C$500,Conversas!$B$5:$B$500,A14&amp;"*")))</f>
        <v/>
      </c>
      <c r="O14" s="104"/>
      <c r="P14" s="99" t="str">
        <f aca="true">IF(B14="","",IF(O14="","Sem data",IF(O14&lt;TODAY(),"⚠ Atrasado",IF(O14-TODAY()&lt;=7,"Esta semana","Agendado"))))</f>
        <v/>
      </c>
      <c r="Q14" s="96" t="str">
        <f aca="false">IF(B14="","",COUNTIF('Geral - Soluções'!$E$5:$E$500,A14&amp;"*")+COUNTIF('Mentoring - Soluções'!$E$5:$E$500,A14&amp;"*")+COUNTIF('Feira - Soluções'!$E$5:$E$500,A14&amp;"*")+COUNTIF('Inova - Soluções'!$E$5:$E$500,A14&amp;"*")+COUNTIF('Sensibilizando - Soluções'!$E$5:$E$500,A14&amp;"*"))</f>
        <v/>
      </c>
      <c r="R14" s="102"/>
      <c r="S14" s="100" t="str">
        <f aca="false">IF(B14="","",A14&amp;" · "&amp;B14)</f>
        <v/>
      </c>
    </row>
    <row r="15" customFormat="false" ht="15" hidden="false" customHeight="false" outlineLevel="0" collapsed="false">
      <c r="A15" s="93" t="s">
        <v>158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96" t="str">
        <f aca="false">IF(B15="","",COUNTIF(Conversas!$B$5:$B$500,A15&amp;"*"))</f>
        <v/>
      </c>
      <c r="N15" s="97" t="str">
        <f aca="false">IF(B15="","",IF(M15=0,"",_xlfn.MAXIFS(Conversas!$C$5:$C$500,Conversas!$B$5:$B$500,A15&amp;"*")))</f>
        <v/>
      </c>
      <c r="O15" s="107"/>
      <c r="P15" s="99" t="str">
        <f aca="true">IF(B15="","",IF(O15="","Sem data",IF(O15&lt;TODAY(),"⚠ Atrasado",IF(O15-TODAY()&lt;=7,"Esta semana","Agendado"))))</f>
        <v/>
      </c>
      <c r="Q15" s="96" t="str">
        <f aca="false">IF(B15="","",COUNTIF('Geral - Soluções'!$E$5:$E$500,A15&amp;"*")+COUNTIF('Mentoring - Soluções'!$E$5:$E$500,A15&amp;"*")+COUNTIF('Feira - Soluções'!$E$5:$E$500,A15&amp;"*")+COUNTIF('Inova - Soluções'!$E$5:$E$500,A15&amp;"*")+COUNTIF('Sensibilizando - Soluções'!$E$5:$E$500,A15&amp;"*"))</f>
        <v/>
      </c>
      <c r="R15" s="105"/>
      <c r="S15" s="100" t="str">
        <f aca="false">IF(B15="","",A15&amp;" · "&amp;B15)</f>
        <v/>
      </c>
    </row>
    <row r="16" customFormat="false" ht="15" hidden="false" customHeight="false" outlineLevel="0" collapsed="false">
      <c r="A16" s="101" t="s">
        <v>159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3"/>
      <c r="M16" s="96" t="str">
        <f aca="false">IF(B16="","",COUNTIF(Conversas!$B$5:$B$500,A16&amp;"*"))</f>
        <v/>
      </c>
      <c r="N16" s="97" t="str">
        <f aca="false">IF(B16="","",IF(M16=0,"",_xlfn.MAXIFS(Conversas!$C$5:$C$500,Conversas!$B$5:$B$500,A16&amp;"*")))</f>
        <v/>
      </c>
      <c r="O16" s="104"/>
      <c r="P16" s="99" t="str">
        <f aca="true">IF(B16="","",IF(O16="","Sem data",IF(O16&lt;TODAY(),"⚠ Atrasado",IF(O16-TODAY()&lt;=7,"Esta semana","Agendado"))))</f>
        <v/>
      </c>
      <c r="Q16" s="96" t="str">
        <f aca="false">IF(B16="","",COUNTIF('Geral - Soluções'!$E$5:$E$500,A16&amp;"*")+COUNTIF('Mentoring - Soluções'!$E$5:$E$500,A16&amp;"*")+COUNTIF('Feira - Soluções'!$E$5:$E$500,A16&amp;"*")+COUNTIF('Inova - Soluções'!$E$5:$E$500,A16&amp;"*")+COUNTIF('Sensibilizando - Soluções'!$E$5:$E$500,A16&amp;"*"))</f>
        <v/>
      </c>
      <c r="R16" s="102"/>
      <c r="S16" s="100" t="str">
        <f aca="false">IF(B16="","",A16&amp;" · "&amp;B16)</f>
        <v/>
      </c>
    </row>
    <row r="17" customFormat="false" ht="15" hidden="false" customHeight="false" outlineLevel="0" collapsed="false">
      <c r="A17" s="93" t="s">
        <v>160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6"/>
      <c r="M17" s="96" t="str">
        <f aca="false">IF(B17="","",COUNTIF(Conversas!$B$5:$B$500,A17&amp;"*"))</f>
        <v/>
      </c>
      <c r="N17" s="97" t="str">
        <f aca="false">IF(B17="","",IF(M17=0,"",_xlfn.MAXIFS(Conversas!$C$5:$C$500,Conversas!$B$5:$B$500,A17&amp;"*")))</f>
        <v/>
      </c>
      <c r="O17" s="107"/>
      <c r="P17" s="99" t="str">
        <f aca="true">IF(B17="","",IF(O17="","Sem data",IF(O17&lt;TODAY(),"⚠ Atrasado",IF(O17-TODAY()&lt;=7,"Esta semana","Agendado"))))</f>
        <v/>
      </c>
      <c r="Q17" s="96" t="str">
        <f aca="false">IF(B17="","",COUNTIF('Geral - Soluções'!$E$5:$E$500,A17&amp;"*")+COUNTIF('Mentoring - Soluções'!$E$5:$E$500,A17&amp;"*")+COUNTIF('Feira - Soluções'!$E$5:$E$500,A17&amp;"*")+COUNTIF('Inova - Soluções'!$E$5:$E$500,A17&amp;"*")+COUNTIF('Sensibilizando - Soluções'!$E$5:$E$500,A17&amp;"*"))</f>
        <v/>
      </c>
      <c r="R17" s="105"/>
      <c r="S17" s="100" t="str">
        <f aca="false">IF(B17="","",A17&amp;" · "&amp;B17)</f>
        <v/>
      </c>
    </row>
    <row r="18" customFormat="false" ht="15" hidden="false" customHeight="false" outlineLevel="0" collapsed="false">
      <c r="A18" s="101" t="s">
        <v>161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3"/>
      <c r="M18" s="96" t="str">
        <f aca="false">IF(B18="","",COUNTIF(Conversas!$B$5:$B$500,A18&amp;"*"))</f>
        <v/>
      </c>
      <c r="N18" s="97" t="str">
        <f aca="false">IF(B18="","",IF(M18=0,"",_xlfn.MAXIFS(Conversas!$C$5:$C$500,Conversas!$B$5:$B$500,A18&amp;"*")))</f>
        <v/>
      </c>
      <c r="O18" s="104"/>
      <c r="P18" s="99" t="str">
        <f aca="true">IF(B18="","",IF(O18="","Sem data",IF(O18&lt;TODAY(),"⚠ Atrasado",IF(O18-TODAY()&lt;=7,"Esta semana","Agendado"))))</f>
        <v/>
      </c>
      <c r="Q18" s="96" t="str">
        <f aca="false">IF(B18="","",COUNTIF('Geral - Soluções'!$E$5:$E$500,A18&amp;"*")+COUNTIF('Mentoring - Soluções'!$E$5:$E$500,A18&amp;"*")+COUNTIF('Feira - Soluções'!$E$5:$E$500,A18&amp;"*")+COUNTIF('Inova - Soluções'!$E$5:$E$500,A18&amp;"*")+COUNTIF('Sensibilizando - Soluções'!$E$5:$E$500,A18&amp;"*"))</f>
        <v/>
      </c>
      <c r="R18" s="102"/>
      <c r="S18" s="100" t="str">
        <f aca="false">IF(B18="","",A18&amp;" · "&amp;B18)</f>
        <v/>
      </c>
    </row>
    <row r="19" customFormat="false" ht="15" hidden="false" customHeight="false" outlineLevel="0" collapsed="false">
      <c r="A19" s="93" t="s">
        <v>162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6"/>
      <c r="M19" s="96" t="str">
        <f aca="false">IF(B19="","",COUNTIF(Conversas!$B$5:$B$500,A19&amp;"*"))</f>
        <v/>
      </c>
      <c r="N19" s="97" t="str">
        <f aca="false">IF(B19="","",IF(M19=0,"",_xlfn.MAXIFS(Conversas!$C$5:$C$500,Conversas!$B$5:$B$500,A19&amp;"*")))</f>
        <v/>
      </c>
      <c r="O19" s="107"/>
      <c r="P19" s="99" t="str">
        <f aca="true">IF(B19="","",IF(O19="","Sem data",IF(O19&lt;TODAY(),"⚠ Atrasado",IF(O19-TODAY()&lt;=7,"Esta semana","Agendado"))))</f>
        <v/>
      </c>
      <c r="Q19" s="96" t="str">
        <f aca="false">IF(B19="","",COUNTIF('Geral - Soluções'!$E$5:$E$500,A19&amp;"*")+COUNTIF('Mentoring - Soluções'!$E$5:$E$500,A19&amp;"*")+COUNTIF('Feira - Soluções'!$E$5:$E$500,A19&amp;"*")+COUNTIF('Inova - Soluções'!$E$5:$E$500,A19&amp;"*")+COUNTIF('Sensibilizando - Soluções'!$E$5:$E$500,A19&amp;"*"))</f>
        <v/>
      </c>
      <c r="R19" s="105"/>
      <c r="S19" s="100" t="str">
        <f aca="false">IF(B19="","",A19&amp;" · "&amp;B19)</f>
        <v/>
      </c>
    </row>
    <row r="20" customFormat="false" ht="15" hidden="false" customHeight="false" outlineLevel="0" collapsed="false">
      <c r="A20" s="101" t="s">
        <v>163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3"/>
      <c r="M20" s="96" t="str">
        <f aca="false">IF(B20="","",COUNTIF(Conversas!$B$5:$B$500,A20&amp;"*"))</f>
        <v/>
      </c>
      <c r="N20" s="97" t="str">
        <f aca="false">IF(B20="","",IF(M20=0,"",_xlfn.MAXIFS(Conversas!$C$5:$C$500,Conversas!$B$5:$B$500,A20&amp;"*")))</f>
        <v/>
      </c>
      <c r="O20" s="104"/>
      <c r="P20" s="99" t="str">
        <f aca="true">IF(B20="","",IF(O20="","Sem data",IF(O20&lt;TODAY(),"⚠ Atrasado",IF(O20-TODAY()&lt;=7,"Esta semana","Agendado"))))</f>
        <v/>
      </c>
      <c r="Q20" s="96" t="str">
        <f aca="false">IF(B20="","",COUNTIF('Geral - Soluções'!$E$5:$E$500,A20&amp;"*")+COUNTIF('Mentoring - Soluções'!$E$5:$E$500,A20&amp;"*")+COUNTIF('Feira - Soluções'!$E$5:$E$500,A20&amp;"*")+COUNTIF('Inova - Soluções'!$E$5:$E$500,A20&amp;"*")+COUNTIF('Sensibilizando - Soluções'!$E$5:$E$500,A20&amp;"*"))</f>
        <v/>
      </c>
      <c r="R20" s="102"/>
      <c r="S20" s="100" t="str">
        <f aca="false">IF(B20="","",A20&amp;" · "&amp;B20)</f>
        <v/>
      </c>
    </row>
    <row r="21" customFormat="false" ht="15" hidden="false" customHeight="false" outlineLevel="0" collapsed="false">
      <c r="A21" s="93" t="s">
        <v>164</v>
      </c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6"/>
      <c r="M21" s="96" t="str">
        <f aca="false">IF(B21="","",COUNTIF(Conversas!$B$5:$B$500,A21&amp;"*"))</f>
        <v/>
      </c>
      <c r="N21" s="97" t="str">
        <f aca="false">IF(B21="","",IF(M21=0,"",_xlfn.MAXIFS(Conversas!$C$5:$C$500,Conversas!$B$5:$B$500,A21&amp;"*")))</f>
        <v/>
      </c>
      <c r="O21" s="107"/>
      <c r="P21" s="99" t="str">
        <f aca="true">IF(B21="","",IF(O21="","Sem data",IF(O21&lt;TODAY(),"⚠ Atrasado",IF(O21-TODAY()&lt;=7,"Esta semana","Agendado"))))</f>
        <v/>
      </c>
      <c r="Q21" s="96" t="str">
        <f aca="false">IF(B21="","",COUNTIF('Geral - Soluções'!$E$5:$E$500,A21&amp;"*")+COUNTIF('Mentoring - Soluções'!$E$5:$E$500,A21&amp;"*")+COUNTIF('Feira - Soluções'!$E$5:$E$500,A21&amp;"*")+COUNTIF('Inova - Soluções'!$E$5:$E$500,A21&amp;"*")+COUNTIF('Sensibilizando - Soluções'!$E$5:$E$500,A21&amp;"*"))</f>
        <v/>
      </c>
      <c r="R21" s="105"/>
      <c r="S21" s="100" t="str">
        <f aca="false">IF(B21="","",A21&amp;" · "&amp;B21)</f>
        <v/>
      </c>
    </row>
    <row r="22" customFormat="false" ht="15" hidden="false" customHeight="false" outlineLevel="0" collapsed="false">
      <c r="A22" s="101" t="s">
        <v>165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3"/>
      <c r="M22" s="96" t="str">
        <f aca="false">IF(B22="","",COUNTIF(Conversas!$B$5:$B$500,A22&amp;"*"))</f>
        <v/>
      </c>
      <c r="N22" s="97" t="str">
        <f aca="false">IF(B22="","",IF(M22=0,"",_xlfn.MAXIFS(Conversas!$C$5:$C$500,Conversas!$B$5:$B$500,A22&amp;"*")))</f>
        <v/>
      </c>
      <c r="O22" s="104"/>
      <c r="P22" s="99" t="str">
        <f aca="true">IF(B22="","",IF(O22="","Sem data",IF(O22&lt;TODAY(),"⚠ Atrasado",IF(O22-TODAY()&lt;=7,"Esta semana","Agendado"))))</f>
        <v/>
      </c>
      <c r="Q22" s="96" t="str">
        <f aca="false">IF(B22="","",COUNTIF('Geral - Soluções'!$E$5:$E$500,A22&amp;"*")+COUNTIF('Mentoring - Soluções'!$E$5:$E$500,A22&amp;"*")+COUNTIF('Feira - Soluções'!$E$5:$E$500,A22&amp;"*")+COUNTIF('Inova - Soluções'!$E$5:$E$500,A22&amp;"*")+COUNTIF('Sensibilizando - Soluções'!$E$5:$E$500,A22&amp;"*"))</f>
        <v/>
      </c>
      <c r="R22" s="102"/>
      <c r="S22" s="100" t="str">
        <f aca="false">IF(B22="","",A22&amp;" · "&amp;B22)</f>
        <v/>
      </c>
    </row>
    <row r="23" customFormat="false" ht="15" hidden="false" customHeight="false" outlineLevel="0" collapsed="false">
      <c r="A23" s="93" t="s">
        <v>166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6"/>
      <c r="M23" s="96" t="str">
        <f aca="false">IF(B23="","",COUNTIF(Conversas!$B$5:$B$500,A23&amp;"*"))</f>
        <v/>
      </c>
      <c r="N23" s="97" t="str">
        <f aca="false">IF(B23="","",IF(M23=0,"",_xlfn.MAXIFS(Conversas!$C$5:$C$500,Conversas!$B$5:$B$500,A23&amp;"*")))</f>
        <v/>
      </c>
      <c r="O23" s="107"/>
      <c r="P23" s="99" t="str">
        <f aca="true">IF(B23="","",IF(O23="","Sem data",IF(O23&lt;TODAY(),"⚠ Atrasado",IF(O23-TODAY()&lt;=7,"Esta semana","Agendado"))))</f>
        <v/>
      </c>
      <c r="Q23" s="96" t="str">
        <f aca="false">IF(B23="","",COUNTIF('Geral - Soluções'!$E$5:$E$500,A23&amp;"*")+COUNTIF('Mentoring - Soluções'!$E$5:$E$500,A23&amp;"*")+COUNTIF('Feira - Soluções'!$E$5:$E$500,A23&amp;"*")+COUNTIF('Inova - Soluções'!$E$5:$E$500,A23&amp;"*")+COUNTIF('Sensibilizando - Soluções'!$E$5:$E$500,A23&amp;"*"))</f>
        <v/>
      </c>
      <c r="R23" s="105"/>
      <c r="S23" s="100" t="str">
        <f aca="false">IF(B23="","",A23&amp;" · "&amp;B23)</f>
        <v/>
      </c>
    </row>
    <row r="24" customFormat="false" ht="15" hidden="false" customHeight="false" outlineLevel="0" collapsed="false">
      <c r="A24" s="101" t="s">
        <v>167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3"/>
      <c r="M24" s="96" t="str">
        <f aca="false">IF(B24="","",COUNTIF(Conversas!$B$5:$B$500,A24&amp;"*"))</f>
        <v/>
      </c>
      <c r="N24" s="97" t="str">
        <f aca="false">IF(B24="","",IF(M24=0,"",_xlfn.MAXIFS(Conversas!$C$5:$C$500,Conversas!$B$5:$B$500,A24&amp;"*")))</f>
        <v/>
      </c>
      <c r="O24" s="104"/>
      <c r="P24" s="99" t="str">
        <f aca="true">IF(B24="","",IF(O24="","Sem data",IF(O24&lt;TODAY(),"⚠ Atrasado",IF(O24-TODAY()&lt;=7,"Esta semana","Agendado"))))</f>
        <v/>
      </c>
      <c r="Q24" s="96" t="str">
        <f aca="false">IF(B24="","",COUNTIF('Geral - Soluções'!$E$5:$E$500,A24&amp;"*")+COUNTIF('Mentoring - Soluções'!$E$5:$E$500,A24&amp;"*")+COUNTIF('Feira - Soluções'!$E$5:$E$500,A24&amp;"*")+COUNTIF('Inova - Soluções'!$E$5:$E$500,A24&amp;"*")+COUNTIF('Sensibilizando - Soluções'!$E$5:$E$500,A24&amp;"*"))</f>
        <v/>
      </c>
      <c r="R24" s="102"/>
      <c r="S24" s="100" t="str">
        <f aca="false">IF(B24="","",A24&amp;" · "&amp;B24)</f>
        <v/>
      </c>
    </row>
    <row r="25" customFormat="false" ht="15" hidden="false" customHeight="false" outlineLevel="0" collapsed="false">
      <c r="A25" s="93" t="s">
        <v>168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96" t="str">
        <f aca="false">IF(B25="","",COUNTIF(Conversas!$B$5:$B$500,A25&amp;"*"))</f>
        <v/>
      </c>
      <c r="N25" s="97" t="str">
        <f aca="false">IF(B25="","",IF(M25=0,"",_xlfn.MAXIFS(Conversas!$C$5:$C$500,Conversas!$B$5:$B$500,A25&amp;"*")))</f>
        <v/>
      </c>
      <c r="O25" s="107"/>
      <c r="P25" s="99" t="str">
        <f aca="true">IF(B25="","",IF(O25="","Sem data",IF(O25&lt;TODAY(),"⚠ Atrasado",IF(O25-TODAY()&lt;=7,"Esta semana","Agendado"))))</f>
        <v/>
      </c>
      <c r="Q25" s="96" t="str">
        <f aca="false">IF(B25="","",COUNTIF('Geral - Soluções'!$E$5:$E$500,A25&amp;"*")+COUNTIF('Mentoring - Soluções'!$E$5:$E$500,A25&amp;"*")+COUNTIF('Feira - Soluções'!$E$5:$E$500,A25&amp;"*")+COUNTIF('Inova - Soluções'!$E$5:$E$500,A25&amp;"*")+COUNTIF('Sensibilizando - Soluções'!$E$5:$E$500,A25&amp;"*"))</f>
        <v/>
      </c>
      <c r="R25" s="105"/>
      <c r="S25" s="100" t="str">
        <f aca="false">IF(B25="","",A25&amp;" · "&amp;B25)</f>
        <v/>
      </c>
    </row>
    <row r="26" customFormat="false" ht="15" hidden="false" customHeight="false" outlineLevel="0" collapsed="false">
      <c r="A26" s="101" t="s">
        <v>169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3"/>
      <c r="M26" s="96" t="str">
        <f aca="false">IF(B26="","",COUNTIF(Conversas!$B$5:$B$500,A26&amp;"*"))</f>
        <v/>
      </c>
      <c r="N26" s="97" t="str">
        <f aca="false">IF(B26="","",IF(M26=0,"",_xlfn.MAXIFS(Conversas!$C$5:$C$500,Conversas!$B$5:$B$500,A26&amp;"*")))</f>
        <v/>
      </c>
      <c r="O26" s="104"/>
      <c r="P26" s="99" t="str">
        <f aca="true">IF(B26="","",IF(O26="","Sem data",IF(O26&lt;TODAY(),"⚠ Atrasado",IF(O26-TODAY()&lt;=7,"Esta semana","Agendado"))))</f>
        <v/>
      </c>
      <c r="Q26" s="96" t="str">
        <f aca="false">IF(B26="","",COUNTIF('Geral - Soluções'!$E$5:$E$500,A26&amp;"*")+COUNTIF('Mentoring - Soluções'!$E$5:$E$500,A26&amp;"*")+COUNTIF('Feira - Soluções'!$E$5:$E$500,A26&amp;"*")+COUNTIF('Inova - Soluções'!$E$5:$E$500,A26&amp;"*")+COUNTIF('Sensibilizando - Soluções'!$E$5:$E$500,A26&amp;"*"))</f>
        <v/>
      </c>
      <c r="R26" s="102"/>
      <c r="S26" s="100" t="str">
        <f aca="false">IF(B26="","",A26&amp;" · "&amp;B26)</f>
        <v/>
      </c>
    </row>
    <row r="27" customFormat="false" ht="15" hidden="false" customHeight="false" outlineLevel="0" collapsed="false">
      <c r="A27" s="93" t="s">
        <v>170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6"/>
      <c r="M27" s="96" t="str">
        <f aca="false">IF(B27="","",COUNTIF(Conversas!$B$5:$B$500,A27&amp;"*"))</f>
        <v/>
      </c>
      <c r="N27" s="97" t="str">
        <f aca="false">IF(B27="","",IF(M27=0,"",_xlfn.MAXIFS(Conversas!$C$5:$C$500,Conversas!$B$5:$B$500,A27&amp;"*")))</f>
        <v/>
      </c>
      <c r="O27" s="107"/>
      <c r="P27" s="99" t="str">
        <f aca="true">IF(B27="","",IF(O27="","Sem data",IF(O27&lt;TODAY(),"⚠ Atrasado",IF(O27-TODAY()&lt;=7,"Esta semana","Agendado"))))</f>
        <v/>
      </c>
      <c r="Q27" s="96" t="str">
        <f aca="false">IF(B27="","",COUNTIF('Geral - Soluções'!$E$5:$E$500,A27&amp;"*")+COUNTIF('Mentoring - Soluções'!$E$5:$E$500,A27&amp;"*")+COUNTIF('Feira - Soluções'!$E$5:$E$500,A27&amp;"*")+COUNTIF('Inova - Soluções'!$E$5:$E$500,A27&amp;"*")+COUNTIF('Sensibilizando - Soluções'!$E$5:$E$500,A27&amp;"*"))</f>
        <v/>
      </c>
      <c r="R27" s="105"/>
      <c r="S27" s="100" t="str">
        <f aca="false">IF(B27="","",A27&amp;" · "&amp;B27)</f>
        <v/>
      </c>
    </row>
    <row r="28" customFormat="false" ht="15" hidden="false" customHeight="false" outlineLevel="0" collapsed="false">
      <c r="A28" s="101" t="s">
        <v>171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3"/>
      <c r="M28" s="96" t="str">
        <f aca="false">IF(B28="","",COUNTIF(Conversas!$B$5:$B$500,A28&amp;"*"))</f>
        <v/>
      </c>
      <c r="N28" s="97" t="str">
        <f aca="false">IF(B28="","",IF(M28=0,"",_xlfn.MAXIFS(Conversas!$C$5:$C$500,Conversas!$B$5:$B$500,A28&amp;"*")))</f>
        <v/>
      </c>
      <c r="O28" s="104"/>
      <c r="P28" s="99" t="str">
        <f aca="true">IF(B28="","",IF(O28="","Sem data",IF(O28&lt;TODAY(),"⚠ Atrasado",IF(O28-TODAY()&lt;=7,"Esta semana","Agendado"))))</f>
        <v/>
      </c>
      <c r="Q28" s="96" t="str">
        <f aca="false">IF(B28="","",COUNTIF('Geral - Soluções'!$E$5:$E$500,A28&amp;"*")+COUNTIF('Mentoring - Soluções'!$E$5:$E$500,A28&amp;"*")+COUNTIF('Feira - Soluções'!$E$5:$E$500,A28&amp;"*")+COUNTIF('Inova - Soluções'!$E$5:$E$500,A28&amp;"*")+COUNTIF('Sensibilizando - Soluções'!$E$5:$E$500,A28&amp;"*"))</f>
        <v/>
      </c>
      <c r="R28" s="102"/>
      <c r="S28" s="100" t="str">
        <f aca="false">IF(B28="","",A28&amp;" · "&amp;B28)</f>
        <v/>
      </c>
    </row>
    <row r="29" customFormat="false" ht="15" hidden="false" customHeight="false" outlineLevel="0" collapsed="false">
      <c r="A29" s="93" t="s">
        <v>172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6"/>
      <c r="M29" s="96" t="str">
        <f aca="false">IF(B29="","",COUNTIF(Conversas!$B$5:$B$500,A29&amp;"*"))</f>
        <v/>
      </c>
      <c r="N29" s="97" t="str">
        <f aca="false">IF(B29="","",IF(M29=0,"",_xlfn.MAXIFS(Conversas!$C$5:$C$500,Conversas!$B$5:$B$500,A29&amp;"*")))</f>
        <v/>
      </c>
      <c r="O29" s="107"/>
      <c r="P29" s="99" t="str">
        <f aca="true">IF(B29="","",IF(O29="","Sem data",IF(O29&lt;TODAY(),"⚠ Atrasado",IF(O29-TODAY()&lt;=7,"Esta semana","Agendado"))))</f>
        <v/>
      </c>
      <c r="Q29" s="96" t="str">
        <f aca="false">IF(B29="","",COUNTIF('Geral - Soluções'!$E$5:$E$500,A29&amp;"*")+COUNTIF('Mentoring - Soluções'!$E$5:$E$500,A29&amp;"*")+COUNTIF('Feira - Soluções'!$E$5:$E$500,A29&amp;"*")+COUNTIF('Inova - Soluções'!$E$5:$E$500,A29&amp;"*")+COUNTIF('Sensibilizando - Soluções'!$E$5:$E$500,A29&amp;"*"))</f>
        <v/>
      </c>
      <c r="R29" s="105"/>
      <c r="S29" s="100" t="str">
        <f aca="false">IF(B29="","",A29&amp;" · "&amp;B29)</f>
        <v/>
      </c>
    </row>
    <row r="30" customFormat="false" ht="15" hidden="false" customHeight="false" outlineLevel="0" collapsed="false">
      <c r="A30" s="101" t="s">
        <v>173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3"/>
      <c r="M30" s="96" t="str">
        <f aca="false">IF(B30="","",COUNTIF(Conversas!$B$5:$B$500,A30&amp;"*"))</f>
        <v/>
      </c>
      <c r="N30" s="97" t="str">
        <f aca="false">IF(B30="","",IF(M30=0,"",_xlfn.MAXIFS(Conversas!$C$5:$C$500,Conversas!$B$5:$B$500,A30&amp;"*")))</f>
        <v/>
      </c>
      <c r="O30" s="104"/>
      <c r="P30" s="99" t="str">
        <f aca="true">IF(B30="","",IF(O30="","Sem data",IF(O30&lt;TODAY(),"⚠ Atrasado",IF(O30-TODAY()&lt;=7,"Esta semana","Agendado"))))</f>
        <v/>
      </c>
      <c r="Q30" s="96" t="str">
        <f aca="false">IF(B30="","",COUNTIF('Geral - Soluções'!$E$5:$E$500,A30&amp;"*")+COUNTIF('Mentoring - Soluções'!$E$5:$E$500,A30&amp;"*")+COUNTIF('Feira - Soluções'!$E$5:$E$500,A30&amp;"*")+COUNTIF('Inova - Soluções'!$E$5:$E$500,A30&amp;"*")+COUNTIF('Sensibilizando - Soluções'!$E$5:$E$500,A30&amp;"*"))</f>
        <v/>
      </c>
      <c r="R30" s="102"/>
      <c r="S30" s="100" t="str">
        <f aca="false">IF(B30="","",A30&amp;" · "&amp;B30)</f>
        <v/>
      </c>
    </row>
    <row r="31" customFormat="false" ht="15" hidden="false" customHeight="false" outlineLevel="0" collapsed="false">
      <c r="A31" s="93" t="s">
        <v>174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6"/>
      <c r="M31" s="96" t="str">
        <f aca="false">IF(B31="","",COUNTIF(Conversas!$B$5:$B$500,A31&amp;"*"))</f>
        <v/>
      </c>
      <c r="N31" s="97" t="str">
        <f aca="false">IF(B31="","",IF(M31=0,"",_xlfn.MAXIFS(Conversas!$C$5:$C$500,Conversas!$B$5:$B$500,A31&amp;"*")))</f>
        <v/>
      </c>
      <c r="O31" s="107"/>
      <c r="P31" s="99" t="str">
        <f aca="true">IF(B31="","",IF(O31="","Sem data",IF(O31&lt;TODAY(),"⚠ Atrasado",IF(O31-TODAY()&lt;=7,"Esta semana","Agendado"))))</f>
        <v/>
      </c>
      <c r="Q31" s="96" t="str">
        <f aca="false">IF(B31="","",COUNTIF('Geral - Soluções'!$E$5:$E$500,A31&amp;"*")+COUNTIF('Mentoring - Soluções'!$E$5:$E$500,A31&amp;"*")+COUNTIF('Feira - Soluções'!$E$5:$E$500,A31&amp;"*")+COUNTIF('Inova - Soluções'!$E$5:$E$500,A31&amp;"*")+COUNTIF('Sensibilizando - Soluções'!$E$5:$E$500,A31&amp;"*"))</f>
        <v/>
      </c>
      <c r="R31" s="105"/>
      <c r="S31" s="100" t="str">
        <f aca="false">IF(B31="","",A31&amp;" · "&amp;B31)</f>
        <v/>
      </c>
    </row>
    <row r="32" customFormat="false" ht="15" hidden="false" customHeight="false" outlineLevel="0" collapsed="false">
      <c r="A32" s="101" t="s">
        <v>175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3"/>
      <c r="M32" s="96" t="str">
        <f aca="false">IF(B32="","",COUNTIF(Conversas!$B$5:$B$500,A32&amp;"*"))</f>
        <v/>
      </c>
      <c r="N32" s="97" t="str">
        <f aca="false">IF(B32="","",IF(M32=0,"",_xlfn.MAXIFS(Conversas!$C$5:$C$500,Conversas!$B$5:$B$500,A32&amp;"*")))</f>
        <v/>
      </c>
      <c r="O32" s="104"/>
      <c r="P32" s="99" t="str">
        <f aca="true">IF(B32="","",IF(O32="","Sem data",IF(O32&lt;TODAY(),"⚠ Atrasado",IF(O32-TODAY()&lt;=7,"Esta semana","Agendado"))))</f>
        <v/>
      </c>
      <c r="Q32" s="96" t="str">
        <f aca="false">IF(B32="","",COUNTIF('Geral - Soluções'!$E$5:$E$500,A32&amp;"*")+COUNTIF('Mentoring - Soluções'!$E$5:$E$500,A32&amp;"*")+COUNTIF('Feira - Soluções'!$E$5:$E$500,A32&amp;"*")+COUNTIF('Inova - Soluções'!$E$5:$E$500,A32&amp;"*")+COUNTIF('Sensibilizando - Soluções'!$E$5:$E$500,A32&amp;"*"))</f>
        <v/>
      </c>
      <c r="R32" s="102"/>
      <c r="S32" s="100" t="str">
        <f aca="false">IF(B32="","",A32&amp;" · "&amp;B32)</f>
        <v/>
      </c>
    </row>
    <row r="33" customFormat="false" ht="15" hidden="false" customHeight="false" outlineLevel="0" collapsed="false">
      <c r="A33" s="93" t="s">
        <v>176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6"/>
      <c r="M33" s="96" t="str">
        <f aca="false">IF(B33="","",COUNTIF(Conversas!$B$5:$B$500,A33&amp;"*"))</f>
        <v/>
      </c>
      <c r="N33" s="97" t="str">
        <f aca="false">IF(B33="","",IF(M33=0,"",_xlfn.MAXIFS(Conversas!$C$5:$C$500,Conversas!$B$5:$B$500,A33&amp;"*")))</f>
        <v/>
      </c>
      <c r="O33" s="107"/>
      <c r="P33" s="99" t="str">
        <f aca="true">IF(B33="","",IF(O33="","Sem data",IF(O33&lt;TODAY(),"⚠ Atrasado",IF(O33-TODAY()&lt;=7,"Esta semana","Agendado"))))</f>
        <v/>
      </c>
      <c r="Q33" s="96" t="str">
        <f aca="false">IF(B33="","",COUNTIF('Geral - Soluções'!$E$5:$E$500,A33&amp;"*")+COUNTIF('Mentoring - Soluções'!$E$5:$E$500,A33&amp;"*")+COUNTIF('Feira - Soluções'!$E$5:$E$500,A33&amp;"*")+COUNTIF('Inova - Soluções'!$E$5:$E$500,A33&amp;"*")+COUNTIF('Sensibilizando - Soluções'!$E$5:$E$500,A33&amp;"*"))</f>
        <v/>
      </c>
      <c r="R33" s="105"/>
      <c r="S33" s="100" t="str">
        <f aca="false">IF(B33="","",A33&amp;" · "&amp;B33)</f>
        <v/>
      </c>
    </row>
    <row r="34" customFormat="false" ht="15" hidden="false" customHeight="false" outlineLevel="0" collapsed="false">
      <c r="A34" s="101" t="s">
        <v>177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3"/>
      <c r="M34" s="96" t="str">
        <f aca="false">IF(B34="","",COUNTIF(Conversas!$B$5:$B$500,A34&amp;"*"))</f>
        <v/>
      </c>
      <c r="N34" s="97" t="str">
        <f aca="false">IF(B34="","",IF(M34=0,"",_xlfn.MAXIFS(Conversas!$C$5:$C$500,Conversas!$B$5:$B$500,A34&amp;"*")))</f>
        <v/>
      </c>
      <c r="O34" s="104"/>
      <c r="P34" s="99" t="str">
        <f aca="true">IF(B34="","",IF(O34="","Sem data",IF(O34&lt;TODAY(),"⚠ Atrasado",IF(O34-TODAY()&lt;=7,"Esta semana","Agendado"))))</f>
        <v/>
      </c>
      <c r="Q34" s="96" t="str">
        <f aca="false">IF(B34="","",COUNTIF('Geral - Soluções'!$E$5:$E$500,A34&amp;"*")+COUNTIF('Mentoring - Soluções'!$E$5:$E$500,A34&amp;"*")+COUNTIF('Feira - Soluções'!$E$5:$E$500,A34&amp;"*")+COUNTIF('Inova - Soluções'!$E$5:$E$500,A34&amp;"*")+COUNTIF('Sensibilizando - Soluções'!$E$5:$E$500,A34&amp;"*"))</f>
        <v/>
      </c>
      <c r="R34" s="102"/>
      <c r="S34" s="100" t="str">
        <f aca="false">IF(B34="","",A34&amp;" · "&amp;B34)</f>
        <v/>
      </c>
    </row>
    <row r="35" customFormat="false" ht="15" hidden="false" customHeight="false" outlineLevel="0" collapsed="false">
      <c r="A35" s="93" t="s">
        <v>178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6"/>
      <c r="M35" s="96" t="str">
        <f aca="false">IF(B35="","",COUNTIF(Conversas!$B$5:$B$500,A35&amp;"*"))</f>
        <v/>
      </c>
      <c r="N35" s="97" t="str">
        <f aca="false">IF(B35="","",IF(M35=0,"",_xlfn.MAXIFS(Conversas!$C$5:$C$500,Conversas!$B$5:$B$500,A35&amp;"*")))</f>
        <v/>
      </c>
      <c r="O35" s="107"/>
      <c r="P35" s="99" t="str">
        <f aca="true">IF(B35="","",IF(O35="","Sem data",IF(O35&lt;TODAY(),"⚠ Atrasado",IF(O35-TODAY()&lt;=7,"Esta semana","Agendado"))))</f>
        <v/>
      </c>
      <c r="Q35" s="96" t="str">
        <f aca="false">IF(B35="","",COUNTIF('Geral - Soluções'!$E$5:$E$500,A35&amp;"*")+COUNTIF('Mentoring - Soluções'!$E$5:$E$500,A35&amp;"*")+COUNTIF('Feira - Soluções'!$E$5:$E$500,A35&amp;"*")+COUNTIF('Inova - Soluções'!$E$5:$E$500,A35&amp;"*")+COUNTIF('Sensibilizando - Soluções'!$E$5:$E$500,A35&amp;"*"))</f>
        <v/>
      </c>
      <c r="R35" s="105"/>
      <c r="S35" s="100" t="str">
        <f aca="false">IF(B35="","",A35&amp;" · "&amp;B35)</f>
        <v/>
      </c>
    </row>
    <row r="36" customFormat="false" ht="15" hidden="false" customHeight="false" outlineLevel="0" collapsed="false">
      <c r="A36" s="101" t="s">
        <v>179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3"/>
      <c r="M36" s="96" t="str">
        <f aca="false">IF(B36="","",COUNTIF(Conversas!$B$5:$B$500,A36&amp;"*"))</f>
        <v/>
      </c>
      <c r="N36" s="97" t="str">
        <f aca="false">IF(B36="","",IF(M36=0,"",_xlfn.MAXIFS(Conversas!$C$5:$C$500,Conversas!$B$5:$B$500,A36&amp;"*")))</f>
        <v/>
      </c>
      <c r="O36" s="104"/>
      <c r="P36" s="99" t="str">
        <f aca="true">IF(B36="","",IF(O36="","Sem data",IF(O36&lt;TODAY(),"⚠ Atrasado",IF(O36-TODAY()&lt;=7,"Esta semana","Agendado"))))</f>
        <v/>
      </c>
      <c r="Q36" s="96" t="str">
        <f aca="false">IF(B36="","",COUNTIF('Geral - Soluções'!$E$5:$E$500,A36&amp;"*")+COUNTIF('Mentoring - Soluções'!$E$5:$E$500,A36&amp;"*")+COUNTIF('Feira - Soluções'!$E$5:$E$500,A36&amp;"*")+COUNTIF('Inova - Soluções'!$E$5:$E$500,A36&amp;"*")+COUNTIF('Sensibilizando - Soluções'!$E$5:$E$500,A36&amp;"*"))</f>
        <v/>
      </c>
      <c r="R36" s="102"/>
      <c r="S36" s="100" t="str">
        <f aca="false">IF(B36="","",A36&amp;" · "&amp;B36)</f>
        <v/>
      </c>
    </row>
    <row r="37" customFormat="false" ht="15" hidden="false" customHeight="false" outlineLevel="0" collapsed="false">
      <c r="A37" s="93" t="s">
        <v>180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6"/>
      <c r="M37" s="96" t="str">
        <f aca="false">IF(B37="","",COUNTIF(Conversas!$B$5:$B$500,A37&amp;"*"))</f>
        <v/>
      </c>
      <c r="N37" s="97" t="str">
        <f aca="false">IF(B37="","",IF(M37=0,"",_xlfn.MAXIFS(Conversas!$C$5:$C$500,Conversas!$B$5:$B$500,A37&amp;"*")))</f>
        <v/>
      </c>
      <c r="O37" s="107"/>
      <c r="P37" s="99" t="str">
        <f aca="true">IF(B37="","",IF(O37="","Sem data",IF(O37&lt;TODAY(),"⚠ Atrasado",IF(O37-TODAY()&lt;=7,"Esta semana","Agendado"))))</f>
        <v/>
      </c>
      <c r="Q37" s="96" t="str">
        <f aca="false">IF(B37="","",COUNTIF('Geral - Soluções'!$E$5:$E$500,A37&amp;"*")+COUNTIF('Mentoring - Soluções'!$E$5:$E$500,A37&amp;"*")+COUNTIF('Feira - Soluções'!$E$5:$E$500,A37&amp;"*")+COUNTIF('Inova - Soluções'!$E$5:$E$500,A37&amp;"*")+COUNTIF('Sensibilizando - Soluções'!$E$5:$E$500,A37&amp;"*"))</f>
        <v/>
      </c>
      <c r="R37" s="105"/>
      <c r="S37" s="100" t="str">
        <f aca="false">IF(B37="","",A37&amp;" · "&amp;B37)</f>
        <v/>
      </c>
    </row>
    <row r="38" customFormat="false" ht="15" hidden="false" customHeight="false" outlineLevel="0" collapsed="false">
      <c r="A38" s="101" t="s">
        <v>181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3"/>
      <c r="M38" s="96" t="str">
        <f aca="false">IF(B38="","",COUNTIF(Conversas!$B$5:$B$500,A38&amp;"*"))</f>
        <v/>
      </c>
      <c r="N38" s="97" t="str">
        <f aca="false">IF(B38="","",IF(M38=0,"",_xlfn.MAXIFS(Conversas!$C$5:$C$500,Conversas!$B$5:$B$500,A38&amp;"*")))</f>
        <v/>
      </c>
      <c r="O38" s="104"/>
      <c r="P38" s="99" t="str">
        <f aca="true">IF(B38="","",IF(O38="","Sem data",IF(O38&lt;TODAY(),"⚠ Atrasado",IF(O38-TODAY()&lt;=7,"Esta semana","Agendado"))))</f>
        <v/>
      </c>
      <c r="Q38" s="96" t="str">
        <f aca="false">IF(B38="","",COUNTIF('Geral - Soluções'!$E$5:$E$500,A38&amp;"*")+COUNTIF('Mentoring - Soluções'!$E$5:$E$500,A38&amp;"*")+COUNTIF('Feira - Soluções'!$E$5:$E$500,A38&amp;"*")+COUNTIF('Inova - Soluções'!$E$5:$E$500,A38&amp;"*")+COUNTIF('Sensibilizando - Soluções'!$E$5:$E$500,A38&amp;"*"))</f>
        <v/>
      </c>
      <c r="R38" s="102"/>
      <c r="S38" s="100" t="str">
        <f aca="false">IF(B38="","",A38&amp;" · "&amp;B38)</f>
        <v/>
      </c>
    </row>
    <row r="39" customFormat="false" ht="15" hidden="false" customHeight="false" outlineLevel="0" collapsed="false">
      <c r="A39" s="93" t="s">
        <v>182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6"/>
      <c r="M39" s="96" t="str">
        <f aca="false">IF(B39="","",COUNTIF(Conversas!$B$5:$B$500,A39&amp;"*"))</f>
        <v/>
      </c>
      <c r="N39" s="97" t="str">
        <f aca="false">IF(B39="","",IF(M39=0,"",_xlfn.MAXIFS(Conversas!$C$5:$C$500,Conversas!$B$5:$B$500,A39&amp;"*")))</f>
        <v/>
      </c>
      <c r="O39" s="107"/>
      <c r="P39" s="99" t="str">
        <f aca="true">IF(B39="","",IF(O39="","Sem data",IF(O39&lt;TODAY(),"⚠ Atrasado",IF(O39-TODAY()&lt;=7,"Esta semana","Agendado"))))</f>
        <v/>
      </c>
      <c r="Q39" s="96" t="str">
        <f aca="false">IF(B39="","",COUNTIF('Geral - Soluções'!$E$5:$E$500,A39&amp;"*")+COUNTIF('Mentoring - Soluções'!$E$5:$E$500,A39&amp;"*")+COUNTIF('Feira - Soluções'!$E$5:$E$500,A39&amp;"*")+COUNTIF('Inova - Soluções'!$E$5:$E$500,A39&amp;"*")+COUNTIF('Sensibilizando - Soluções'!$E$5:$E$500,A39&amp;"*"))</f>
        <v/>
      </c>
      <c r="R39" s="105"/>
      <c r="S39" s="100" t="str">
        <f aca="false">IF(B39="","",A39&amp;" · "&amp;B39)</f>
        <v/>
      </c>
    </row>
    <row r="40" customFormat="false" ht="15" hidden="false" customHeight="false" outlineLevel="0" collapsed="false">
      <c r="A40" s="101" t="s">
        <v>183</v>
      </c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3"/>
      <c r="M40" s="96" t="str">
        <f aca="false">IF(B40="","",COUNTIF(Conversas!$B$5:$B$500,A40&amp;"*"))</f>
        <v/>
      </c>
      <c r="N40" s="97" t="str">
        <f aca="false">IF(B40="","",IF(M40=0,"",_xlfn.MAXIFS(Conversas!$C$5:$C$500,Conversas!$B$5:$B$500,A40&amp;"*")))</f>
        <v/>
      </c>
      <c r="O40" s="104"/>
      <c r="P40" s="99" t="str">
        <f aca="true">IF(B40="","",IF(O40="","Sem data",IF(O40&lt;TODAY(),"⚠ Atrasado",IF(O40-TODAY()&lt;=7,"Esta semana","Agendado"))))</f>
        <v/>
      </c>
      <c r="Q40" s="96" t="str">
        <f aca="false">IF(B40="","",COUNTIF('Geral - Soluções'!$E$5:$E$500,A40&amp;"*")+COUNTIF('Mentoring - Soluções'!$E$5:$E$500,A40&amp;"*")+COUNTIF('Feira - Soluções'!$E$5:$E$500,A40&amp;"*")+COUNTIF('Inova - Soluções'!$E$5:$E$500,A40&amp;"*")+COUNTIF('Sensibilizando - Soluções'!$E$5:$E$500,A40&amp;"*"))</f>
        <v/>
      </c>
      <c r="R40" s="102"/>
      <c r="S40" s="100" t="str">
        <f aca="false">IF(B40="","",A40&amp;" · "&amp;B40)</f>
        <v/>
      </c>
    </row>
    <row r="41" customFormat="false" ht="15" hidden="false" customHeight="false" outlineLevel="0" collapsed="false">
      <c r="A41" s="93" t="s">
        <v>184</v>
      </c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6"/>
      <c r="M41" s="96" t="str">
        <f aca="false">IF(B41="","",COUNTIF(Conversas!$B$5:$B$500,A41&amp;"*"))</f>
        <v/>
      </c>
      <c r="N41" s="97" t="str">
        <f aca="false">IF(B41="","",IF(M41=0,"",_xlfn.MAXIFS(Conversas!$C$5:$C$500,Conversas!$B$5:$B$500,A41&amp;"*")))</f>
        <v/>
      </c>
      <c r="O41" s="107"/>
      <c r="P41" s="99" t="str">
        <f aca="true">IF(B41="","",IF(O41="","Sem data",IF(O41&lt;TODAY(),"⚠ Atrasado",IF(O41-TODAY()&lt;=7,"Esta semana","Agendado"))))</f>
        <v/>
      </c>
      <c r="Q41" s="96" t="str">
        <f aca="false">IF(B41="","",COUNTIF('Geral - Soluções'!$E$5:$E$500,A41&amp;"*")+COUNTIF('Mentoring - Soluções'!$E$5:$E$500,A41&amp;"*")+COUNTIF('Feira - Soluções'!$E$5:$E$500,A41&amp;"*")+COUNTIF('Inova - Soluções'!$E$5:$E$500,A41&amp;"*")+COUNTIF('Sensibilizando - Soluções'!$E$5:$E$500,A41&amp;"*"))</f>
        <v/>
      </c>
      <c r="R41" s="105"/>
      <c r="S41" s="100" t="str">
        <f aca="false">IF(B41="","",A41&amp;" · "&amp;B41)</f>
        <v/>
      </c>
    </row>
    <row r="42" customFormat="false" ht="15" hidden="false" customHeight="false" outlineLevel="0" collapsed="false">
      <c r="A42" s="101" t="s">
        <v>185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3"/>
      <c r="M42" s="96" t="str">
        <f aca="false">IF(B42="","",COUNTIF(Conversas!$B$5:$B$500,A42&amp;"*"))</f>
        <v/>
      </c>
      <c r="N42" s="97" t="str">
        <f aca="false">IF(B42="","",IF(M42=0,"",_xlfn.MAXIFS(Conversas!$C$5:$C$500,Conversas!$B$5:$B$500,A42&amp;"*")))</f>
        <v/>
      </c>
      <c r="O42" s="104"/>
      <c r="P42" s="99" t="str">
        <f aca="true">IF(B42="","",IF(O42="","Sem data",IF(O42&lt;TODAY(),"⚠ Atrasado",IF(O42-TODAY()&lt;=7,"Esta semana","Agendado"))))</f>
        <v/>
      </c>
      <c r="Q42" s="96" t="str">
        <f aca="false">IF(B42="","",COUNTIF('Geral - Soluções'!$E$5:$E$500,A42&amp;"*")+COUNTIF('Mentoring - Soluções'!$E$5:$E$500,A42&amp;"*")+COUNTIF('Feira - Soluções'!$E$5:$E$500,A42&amp;"*")+COUNTIF('Inova - Soluções'!$E$5:$E$500,A42&amp;"*")+COUNTIF('Sensibilizando - Soluções'!$E$5:$E$500,A42&amp;"*"))</f>
        <v/>
      </c>
      <c r="R42" s="102"/>
      <c r="S42" s="100" t="str">
        <f aca="false">IF(B42="","",A42&amp;" · "&amp;B42)</f>
        <v/>
      </c>
    </row>
    <row r="43" customFormat="false" ht="15" hidden="false" customHeight="false" outlineLevel="0" collapsed="false">
      <c r="A43" s="93" t="s">
        <v>186</v>
      </c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6"/>
      <c r="M43" s="96" t="str">
        <f aca="false">IF(B43="","",COUNTIF(Conversas!$B$5:$B$500,A43&amp;"*"))</f>
        <v/>
      </c>
      <c r="N43" s="97" t="str">
        <f aca="false">IF(B43="","",IF(M43=0,"",_xlfn.MAXIFS(Conversas!$C$5:$C$500,Conversas!$B$5:$B$500,A43&amp;"*")))</f>
        <v/>
      </c>
      <c r="O43" s="107"/>
      <c r="P43" s="99" t="str">
        <f aca="true">IF(B43="","",IF(O43="","Sem data",IF(O43&lt;TODAY(),"⚠ Atrasado",IF(O43-TODAY()&lt;=7,"Esta semana","Agendado"))))</f>
        <v/>
      </c>
      <c r="Q43" s="96" t="str">
        <f aca="false">IF(B43="","",COUNTIF('Geral - Soluções'!$E$5:$E$500,A43&amp;"*")+COUNTIF('Mentoring - Soluções'!$E$5:$E$500,A43&amp;"*")+COUNTIF('Feira - Soluções'!$E$5:$E$500,A43&amp;"*")+COUNTIF('Inova - Soluções'!$E$5:$E$500,A43&amp;"*")+COUNTIF('Sensibilizando - Soluções'!$E$5:$E$500,A43&amp;"*"))</f>
        <v/>
      </c>
      <c r="R43" s="105"/>
      <c r="S43" s="100" t="str">
        <f aca="false">IF(B43="","",A43&amp;" · "&amp;B43)</f>
        <v/>
      </c>
    </row>
    <row r="44" customFormat="false" ht="15" hidden="false" customHeight="false" outlineLevel="0" collapsed="false">
      <c r="A44" s="101" t="s">
        <v>187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3"/>
      <c r="M44" s="96" t="str">
        <f aca="false">IF(B44="","",COUNTIF(Conversas!$B$5:$B$500,A44&amp;"*"))</f>
        <v/>
      </c>
      <c r="N44" s="97" t="str">
        <f aca="false">IF(B44="","",IF(M44=0,"",_xlfn.MAXIFS(Conversas!$C$5:$C$500,Conversas!$B$5:$B$500,A44&amp;"*")))</f>
        <v/>
      </c>
      <c r="O44" s="104"/>
      <c r="P44" s="99" t="str">
        <f aca="true">IF(B44="","",IF(O44="","Sem data",IF(O44&lt;TODAY(),"⚠ Atrasado",IF(O44-TODAY()&lt;=7,"Esta semana","Agendado"))))</f>
        <v/>
      </c>
      <c r="Q44" s="96" t="str">
        <f aca="false">IF(B44="","",COUNTIF('Geral - Soluções'!$E$5:$E$500,A44&amp;"*")+COUNTIF('Mentoring - Soluções'!$E$5:$E$500,A44&amp;"*")+COUNTIF('Feira - Soluções'!$E$5:$E$500,A44&amp;"*")+COUNTIF('Inova - Soluções'!$E$5:$E$500,A44&amp;"*")+COUNTIF('Sensibilizando - Soluções'!$E$5:$E$500,A44&amp;"*"))</f>
        <v/>
      </c>
      <c r="R44" s="102"/>
      <c r="S44" s="100" t="str">
        <f aca="false">IF(B44="","",A44&amp;" · "&amp;B44)</f>
        <v/>
      </c>
    </row>
    <row r="45" customFormat="false" ht="15" hidden="false" customHeight="false" outlineLevel="0" collapsed="false">
      <c r="A45" s="93" t="s">
        <v>188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6"/>
      <c r="M45" s="96" t="str">
        <f aca="false">IF(B45="","",COUNTIF(Conversas!$B$5:$B$500,A45&amp;"*"))</f>
        <v/>
      </c>
      <c r="N45" s="97" t="str">
        <f aca="false">IF(B45="","",IF(M45=0,"",_xlfn.MAXIFS(Conversas!$C$5:$C$500,Conversas!$B$5:$B$500,A45&amp;"*")))</f>
        <v/>
      </c>
      <c r="O45" s="107"/>
      <c r="P45" s="99" t="str">
        <f aca="true">IF(B45="","",IF(O45="","Sem data",IF(O45&lt;TODAY(),"⚠ Atrasado",IF(O45-TODAY()&lt;=7,"Esta semana","Agendado"))))</f>
        <v/>
      </c>
      <c r="Q45" s="96" t="str">
        <f aca="false">IF(B45="","",COUNTIF('Geral - Soluções'!$E$5:$E$500,A45&amp;"*")+COUNTIF('Mentoring - Soluções'!$E$5:$E$500,A45&amp;"*")+COUNTIF('Feira - Soluções'!$E$5:$E$500,A45&amp;"*")+COUNTIF('Inova - Soluções'!$E$5:$E$500,A45&amp;"*")+COUNTIF('Sensibilizando - Soluções'!$E$5:$E$500,A45&amp;"*"))</f>
        <v/>
      </c>
      <c r="R45" s="105"/>
      <c r="S45" s="100" t="str">
        <f aca="false">IF(B45="","",A45&amp;" · "&amp;B45)</f>
        <v/>
      </c>
    </row>
    <row r="46" customFormat="false" ht="15" hidden="false" customHeight="false" outlineLevel="0" collapsed="false">
      <c r="A46" s="101" t="s">
        <v>189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3"/>
      <c r="M46" s="96" t="str">
        <f aca="false">IF(B46="","",COUNTIF(Conversas!$B$5:$B$500,A46&amp;"*"))</f>
        <v/>
      </c>
      <c r="N46" s="97" t="str">
        <f aca="false">IF(B46="","",IF(M46=0,"",_xlfn.MAXIFS(Conversas!$C$5:$C$500,Conversas!$B$5:$B$500,A46&amp;"*")))</f>
        <v/>
      </c>
      <c r="O46" s="104"/>
      <c r="P46" s="99" t="str">
        <f aca="true">IF(B46="","",IF(O46="","Sem data",IF(O46&lt;TODAY(),"⚠ Atrasado",IF(O46-TODAY()&lt;=7,"Esta semana","Agendado"))))</f>
        <v/>
      </c>
      <c r="Q46" s="96" t="str">
        <f aca="false">IF(B46="","",COUNTIF('Geral - Soluções'!$E$5:$E$500,A46&amp;"*")+COUNTIF('Mentoring - Soluções'!$E$5:$E$500,A46&amp;"*")+COUNTIF('Feira - Soluções'!$E$5:$E$500,A46&amp;"*")+COUNTIF('Inova - Soluções'!$E$5:$E$500,A46&amp;"*")+COUNTIF('Sensibilizando - Soluções'!$E$5:$E$500,A46&amp;"*"))</f>
        <v/>
      </c>
      <c r="R46" s="102"/>
      <c r="S46" s="100" t="str">
        <f aca="false">IF(B46="","",A46&amp;" · "&amp;B46)</f>
        <v/>
      </c>
    </row>
    <row r="47" customFormat="false" ht="15" hidden="false" customHeight="false" outlineLevel="0" collapsed="false">
      <c r="A47" s="93" t="s">
        <v>190</v>
      </c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6"/>
      <c r="M47" s="96" t="str">
        <f aca="false">IF(B47="","",COUNTIF(Conversas!$B$5:$B$500,A47&amp;"*"))</f>
        <v/>
      </c>
      <c r="N47" s="97" t="str">
        <f aca="false">IF(B47="","",IF(M47=0,"",_xlfn.MAXIFS(Conversas!$C$5:$C$500,Conversas!$B$5:$B$500,A47&amp;"*")))</f>
        <v/>
      </c>
      <c r="O47" s="107"/>
      <c r="P47" s="99" t="str">
        <f aca="true">IF(B47="","",IF(O47="","Sem data",IF(O47&lt;TODAY(),"⚠ Atrasado",IF(O47-TODAY()&lt;=7,"Esta semana","Agendado"))))</f>
        <v/>
      </c>
      <c r="Q47" s="96" t="str">
        <f aca="false">IF(B47="","",COUNTIF('Geral - Soluções'!$E$5:$E$500,A47&amp;"*")+COUNTIF('Mentoring - Soluções'!$E$5:$E$500,A47&amp;"*")+COUNTIF('Feira - Soluções'!$E$5:$E$500,A47&amp;"*")+COUNTIF('Inova - Soluções'!$E$5:$E$500,A47&amp;"*")+COUNTIF('Sensibilizando - Soluções'!$E$5:$E$500,A47&amp;"*"))</f>
        <v/>
      </c>
      <c r="R47" s="105"/>
      <c r="S47" s="100" t="str">
        <f aca="false">IF(B47="","",A47&amp;" · "&amp;B47)</f>
        <v/>
      </c>
    </row>
    <row r="48" customFormat="false" ht="15" hidden="false" customHeight="false" outlineLevel="0" collapsed="false">
      <c r="A48" s="101" t="s">
        <v>191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3"/>
      <c r="M48" s="96" t="str">
        <f aca="false">IF(B48="","",COUNTIF(Conversas!$B$5:$B$500,A48&amp;"*"))</f>
        <v/>
      </c>
      <c r="N48" s="97" t="str">
        <f aca="false">IF(B48="","",IF(M48=0,"",_xlfn.MAXIFS(Conversas!$C$5:$C$500,Conversas!$B$5:$B$500,A48&amp;"*")))</f>
        <v/>
      </c>
      <c r="O48" s="104"/>
      <c r="P48" s="99" t="str">
        <f aca="true">IF(B48="","",IF(O48="","Sem data",IF(O48&lt;TODAY(),"⚠ Atrasado",IF(O48-TODAY()&lt;=7,"Esta semana","Agendado"))))</f>
        <v/>
      </c>
      <c r="Q48" s="96" t="str">
        <f aca="false">IF(B48="","",COUNTIF('Geral - Soluções'!$E$5:$E$500,A48&amp;"*")+COUNTIF('Mentoring - Soluções'!$E$5:$E$500,A48&amp;"*")+COUNTIF('Feira - Soluções'!$E$5:$E$500,A48&amp;"*")+COUNTIF('Inova - Soluções'!$E$5:$E$500,A48&amp;"*")+COUNTIF('Sensibilizando - Soluções'!$E$5:$E$500,A48&amp;"*"))</f>
        <v/>
      </c>
      <c r="R48" s="102"/>
      <c r="S48" s="100" t="str">
        <f aca="false">IF(B48="","",A48&amp;" · "&amp;B48)</f>
        <v/>
      </c>
    </row>
    <row r="49" customFormat="false" ht="15" hidden="false" customHeight="false" outlineLevel="0" collapsed="false">
      <c r="A49" s="93" t="s">
        <v>192</v>
      </c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6"/>
      <c r="M49" s="96" t="str">
        <f aca="false">IF(B49="","",COUNTIF(Conversas!$B$5:$B$500,A49&amp;"*"))</f>
        <v/>
      </c>
      <c r="N49" s="97" t="str">
        <f aca="false">IF(B49="","",IF(M49=0,"",_xlfn.MAXIFS(Conversas!$C$5:$C$500,Conversas!$B$5:$B$500,A49&amp;"*")))</f>
        <v/>
      </c>
      <c r="O49" s="107"/>
      <c r="P49" s="99" t="str">
        <f aca="true">IF(B49="","",IF(O49="","Sem data",IF(O49&lt;TODAY(),"⚠ Atrasado",IF(O49-TODAY()&lt;=7,"Esta semana","Agendado"))))</f>
        <v/>
      </c>
      <c r="Q49" s="96" t="str">
        <f aca="false">IF(B49="","",COUNTIF('Geral - Soluções'!$E$5:$E$500,A49&amp;"*")+COUNTIF('Mentoring - Soluções'!$E$5:$E$500,A49&amp;"*")+COUNTIF('Feira - Soluções'!$E$5:$E$500,A49&amp;"*")+COUNTIF('Inova - Soluções'!$E$5:$E$500,A49&amp;"*")+COUNTIF('Sensibilizando - Soluções'!$E$5:$E$500,A49&amp;"*"))</f>
        <v/>
      </c>
      <c r="R49" s="105"/>
      <c r="S49" s="100" t="str">
        <f aca="false">IF(B49="","",A49&amp;" · "&amp;B49)</f>
        <v/>
      </c>
    </row>
    <row r="50" customFormat="false" ht="15" hidden="false" customHeight="false" outlineLevel="0" collapsed="false">
      <c r="A50" s="101" t="s">
        <v>193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3"/>
      <c r="M50" s="96" t="str">
        <f aca="false">IF(B50="","",COUNTIF(Conversas!$B$5:$B$500,A50&amp;"*"))</f>
        <v/>
      </c>
      <c r="N50" s="97" t="str">
        <f aca="false">IF(B50="","",IF(M50=0,"",_xlfn.MAXIFS(Conversas!$C$5:$C$500,Conversas!$B$5:$B$500,A50&amp;"*")))</f>
        <v/>
      </c>
      <c r="O50" s="104"/>
      <c r="P50" s="99" t="str">
        <f aca="true">IF(B50="","",IF(O50="","Sem data",IF(O50&lt;TODAY(),"⚠ Atrasado",IF(O50-TODAY()&lt;=7,"Esta semana","Agendado"))))</f>
        <v/>
      </c>
      <c r="Q50" s="96" t="str">
        <f aca="false">IF(B50="","",COUNTIF('Geral - Soluções'!$E$5:$E$500,A50&amp;"*")+COUNTIF('Mentoring - Soluções'!$E$5:$E$500,A50&amp;"*")+COUNTIF('Feira - Soluções'!$E$5:$E$500,A50&amp;"*")+COUNTIF('Inova - Soluções'!$E$5:$E$500,A50&amp;"*")+COUNTIF('Sensibilizando - Soluções'!$E$5:$E$500,A50&amp;"*"))</f>
        <v/>
      </c>
      <c r="R50" s="102"/>
      <c r="S50" s="100" t="str">
        <f aca="false">IF(B50="","",A50&amp;" · "&amp;B50)</f>
        <v/>
      </c>
    </row>
    <row r="51" customFormat="false" ht="15" hidden="false" customHeight="false" outlineLevel="0" collapsed="false">
      <c r="A51" s="93" t="s">
        <v>194</v>
      </c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6"/>
      <c r="M51" s="96" t="str">
        <f aca="false">IF(B51="","",COUNTIF(Conversas!$B$5:$B$500,A51&amp;"*"))</f>
        <v/>
      </c>
      <c r="N51" s="97" t="str">
        <f aca="false">IF(B51="","",IF(M51=0,"",_xlfn.MAXIFS(Conversas!$C$5:$C$500,Conversas!$B$5:$B$500,A51&amp;"*")))</f>
        <v/>
      </c>
      <c r="O51" s="107"/>
      <c r="P51" s="99" t="str">
        <f aca="true">IF(B51="","",IF(O51="","Sem data",IF(O51&lt;TODAY(),"⚠ Atrasado",IF(O51-TODAY()&lt;=7,"Esta semana","Agendado"))))</f>
        <v/>
      </c>
      <c r="Q51" s="96" t="str">
        <f aca="false">IF(B51="","",COUNTIF('Geral - Soluções'!$E$5:$E$500,A51&amp;"*")+COUNTIF('Mentoring - Soluções'!$E$5:$E$500,A51&amp;"*")+COUNTIF('Feira - Soluções'!$E$5:$E$500,A51&amp;"*")+COUNTIF('Inova - Soluções'!$E$5:$E$500,A51&amp;"*")+COUNTIF('Sensibilizando - Soluções'!$E$5:$E$500,A51&amp;"*"))</f>
        <v/>
      </c>
      <c r="R51" s="105"/>
      <c r="S51" s="100" t="str">
        <f aca="false">IF(B51="","",A51&amp;" · "&amp;B51)</f>
        <v/>
      </c>
    </row>
    <row r="52" customFormat="false" ht="15" hidden="false" customHeight="false" outlineLevel="0" collapsed="false">
      <c r="A52" s="101" t="s">
        <v>195</v>
      </c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3"/>
      <c r="M52" s="96" t="str">
        <f aca="false">IF(B52="","",COUNTIF(Conversas!$B$5:$B$500,A52&amp;"*"))</f>
        <v/>
      </c>
      <c r="N52" s="97" t="str">
        <f aca="false">IF(B52="","",IF(M52=0,"",_xlfn.MAXIFS(Conversas!$C$5:$C$500,Conversas!$B$5:$B$500,A52&amp;"*")))</f>
        <v/>
      </c>
      <c r="O52" s="104"/>
      <c r="P52" s="99" t="str">
        <f aca="true">IF(B52="","",IF(O52="","Sem data",IF(O52&lt;TODAY(),"⚠ Atrasado",IF(O52-TODAY()&lt;=7,"Esta semana","Agendado"))))</f>
        <v/>
      </c>
      <c r="Q52" s="96" t="str">
        <f aca="false">IF(B52="","",COUNTIF('Geral - Soluções'!$E$5:$E$500,A52&amp;"*")+COUNTIF('Mentoring - Soluções'!$E$5:$E$500,A52&amp;"*")+COUNTIF('Feira - Soluções'!$E$5:$E$500,A52&amp;"*")+COUNTIF('Inova - Soluções'!$E$5:$E$500,A52&amp;"*")+COUNTIF('Sensibilizando - Soluções'!$E$5:$E$500,A52&amp;"*"))</f>
        <v/>
      </c>
      <c r="R52" s="102"/>
      <c r="S52" s="100" t="str">
        <f aca="false">IF(B52="","",A52&amp;" · "&amp;B52)</f>
        <v/>
      </c>
    </row>
    <row r="53" customFormat="false" ht="15" hidden="false" customHeight="false" outlineLevel="0" collapsed="false">
      <c r="A53" s="93" t="s">
        <v>196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6"/>
      <c r="M53" s="96" t="str">
        <f aca="false">IF(B53="","",COUNTIF(Conversas!$B$5:$B$500,A53&amp;"*"))</f>
        <v/>
      </c>
      <c r="N53" s="97" t="str">
        <f aca="false">IF(B53="","",IF(M53=0,"",_xlfn.MAXIFS(Conversas!$C$5:$C$500,Conversas!$B$5:$B$500,A53&amp;"*")))</f>
        <v/>
      </c>
      <c r="O53" s="107"/>
      <c r="P53" s="99" t="str">
        <f aca="true">IF(B53="","",IF(O53="","Sem data",IF(O53&lt;TODAY(),"⚠ Atrasado",IF(O53-TODAY()&lt;=7,"Esta semana","Agendado"))))</f>
        <v/>
      </c>
      <c r="Q53" s="96" t="str">
        <f aca="false">IF(B53="","",COUNTIF('Geral - Soluções'!$E$5:$E$500,A53&amp;"*")+COUNTIF('Mentoring - Soluções'!$E$5:$E$500,A53&amp;"*")+COUNTIF('Feira - Soluções'!$E$5:$E$500,A53&amp;"*")+COUNTIF('Inova - Soluções'!$E$5:$E$500,A53&amp;"*")+COUNTIF('Sensibilizando - Soluções'!$E$5:$E$500,A53&amp;"*"))</f>
        <v/>
      </c>
      <c r="R53" s="105"/>
      <c r="S53" s="100" t="str">
        <f aca="false">IF(B53="","",A53&amp;" · "&amp;B53)</f>
        <v/>
      </c>
    </row>
    <row r="54" customFormat="false" ht="15" hidden="false" customHeight="false" outlineLevel="0" collapsed="false">
      <c r="A54" s="101" t="s">
        <v>197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3"/>
      <c r="M54" s="96" t="str">
        <f aca="false">IF(B54="","",COUNTIF(Conversas!$B$5:$B$500,A54&amp;"*"))</f>
        <v/>
      </c>
      <c r="N54" s="97" t="str">
        <f aca="false">IF(B54="","",IF(M54=0,"",_xlfn.MAXIFS(Conversas!$C$5:$C$500,Conversas!$B$5:$B$500,A54&amp;"*")))</f>
        <v/>
      </c>
      <c r="O54" s="104"/>
      <c r="P54" s="99" t="str">
        <f aca="true">IF(B54="","",IF(O54="","Sem data",IF(O54&lt;TODAY(),"⚠ Atrasado",IF(O54-TODAY()&lt;=7,"Esta semana","Agendado"))))</f>
        <v/>
      </c>
      <c r="Q54" s="96" t="str">
        <f aca="false">IF(B54="","",COUNTIF('Geral - Soluções'!$E$5:$E$500,A54&amp;"*")+COUNTIF('Mentoring - Soluções'!$E$5:$E$500,A54&amp;"*")+COUNTIF('Feira - Soluções'!$E$5:$E$500,A54&amp;"*")+COUNTIF('Inova - Soluções'!$E$5:$E$500,A54&amp;"*")+COUNTIF('Sensibilizando - Soluções'!$E$5:$E$500,A54&amp;"*"))</f>
        <v/>
      </c>
      <c r="R54" s="102"/>
      <c r="S54" s="100" t="str">
        <f aca="false">IF(B54="","",A54&amp;" · "&amp;B54)</f>
        <v/>
      </c>
    </row>
    <row r="55" customFormat="false" ht="15" hidden="false" customHeight="false" outlineLevel="0" collapsed="false">
      <c r="A55" s="93" t="s">
        <v>198</v>
      </c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6"/>
      <c r="M55" s="96" t="str">
        <f aca="false">IF(B55="","",COUNTIF(Conversas!$B$5:$B$500,A55&amp;"*"))</f>
        <v/>
      </c>
      <c r="N55" s="97" t="str">
        <f aca="false">IF(B55="","",IF(M55=0,"",_xlfn.MAXIFS(Conversas!$C$5:$C$500,Conversas!$B$5:$B$500,A55&amp;"*")))</f>
        <v/>
      </c>
      <c r="O55" s="107"/>
      <c r="P55" s="99" t="str">
        <f aca="true">IF(B55="","",IF(O55="","Sem data",IF(O55&lt;TODAY(),"⚠ Atrasado",IF(O55-TODAY()&lt;=7,"Esta semana","Agendado"))))</f>
        <v/>
      </c>
      <c r="Q55" s="96" t="str">
        <f aca="false">IF(B55="","",COUNTIF('Geral - Soluções'!$E$5:$E$500,A55&amp;"*")+COUNTIF('Mentoring - Soluções'!$E$5:$E$500,A55&amp;"*")+COUNTIF('Feira - Soluções'!$E$5:$E$500,A55&amp;"*")+COUNTIF('Inova - Soluções'!$E$5:$E$500,A55&amp;"*")+COUNTIF('Sensibilizando - Soluções'!$E$5:$E$500,A55&amp;"*"))</f>
        <v/>
      </c>
      <c r="R55" s="105"/>
      <c r="S55" s="100" t="str">
        <f aca="false">IF(B55="","",A55&amp;" · "&amp;B55)</f>
        <v/>
      </c>
    </row>
    <row r="56" customFormat="false" ht="15" hidden="false" customHeight="false" outlineLevel="0" collapsed="false">
      <c r="A56" s="101" t="s">
        <v>199</v>
      </c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3"/>
      <c r="M56" s="96" t="str">
        <f aca="false">IF(B56="","",COUNTIF(Conversas!$B$5:$B$500,A56&amp;"*"))</f>
        <v/>
      </c>
      <c r="N56" s="97" t="str">
        <f aca="false">IF(B56="","",IF(M56=0,"",_xlfn.MAXIFS(Conversas!$C$5:$C$500,Conversas!$B$5:$B$500,A56&amp;"*")))</f>
        <v/>
      </c>
      <c r="O56" s="104"/>
      <c r="P56" s="99" t="str">
        <f aca="true">IF(B56="","",IF(O56="","Sem data",IF(O56&lt;TODAY(),"⚠ Atrasado",IF(O56-TODAY()&lt;=7,"Esta semana","Agendado"))))</f>
        <v/>
      </c>
      <c r="Q56" s="96" t="str">
        <f aca="false">IF(B56="","",COUNTIF('Geral - Soluções'!$E$5:$E$500,A56&amp;"*")+COUNTIF('Mentoring - Soluções'!$E$5:$E$500,A56&amp;"*")+COUNTIF('Feira - Soluções'!$E$5:$E$500,A56&amp;"*")+COUNTIF('Inova - Soluções'!$E$5:$E$500,A56&amp;"*")+COUNTIF('Sensibilizando - Soluções'!$E$5:$E$500,A56&amp;"*"))</f>
        <v/>
      </c>
      <c r="R56" s="102"/>
      <c r="S56" s="100" t="str">
        <f aca="false">IF(B56="","",A56&amp;" · "&amp;B56)</f>
        <v/>
      </c>
    </row>
    <row r="57" customFormat="false" ht="15" hidden="false" customHeight="false" outlineLevel="0" collapsed="false">
      <c r="A57" s="93" t="s">
        <v>200</v>
      </c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6"/>
      <c r="M57" s="96" t="str">
        <f aca="false">IF(B57="","",COUNTIF(Conversas!$B$5:$B$500,A57&amp;"*"))</f>
        <v/>
      </c>
      <c r="N57" s="97" t="str">
        <f aca="false">IF(B57="","",IF(M57=0,"",_xlfn.MAXIFS(Conversas!$C$5:$C$500,Conversas!$B$5:$B$500,A57&amp;"*")))</f>
        <v/>
      </c>
      <c r="O57" s="107"/>
      <c r="P57" s="99" t="str">
        <f aca="true">IF(B57="","",IF(O57="","Sem data",IF(O57&lt;TODAY(),"⚠ Atrasado",IF(O57-TODAY()&lt;=7,"Esta semana","Agendado"))))</f>
        <v/>
      </c>
      <c r="Q57" s="96" t="str">
        <f aca="false">IF(B57="","",COUNTIF('Geral - Soluções'!$E$5:$E$500,A57&amp;"*")+COUNTIF('Mentoring - Soluções'!$E$5:$E$500,A57&amp;"*")+COUNTIF('Feira - Soluções'!$E$5:$E$500,A57&amp;"*")+COUNTIF('Inova - Soluções'!$E$5:$E$500,A57&amp;"*")+COUNTIF('Sensibilizando - Soluções'!$E$5:$E$500,A57&amp;"*"))</f>
        <v/>
      </c>
      <c r="R57" s="105"/>
      <c r="S57" s="100" t="str">
        <f aca="false">IF(B57="","",A57&amp;" · "&amp;B57)</f>
        <v/>
      </c>
    </row>
    <row r="58" customFormat="false" ht="15" hidden="false" customHeight="false" outlineLevel="0" collapsed="false">
      <c r="A58" s="101" t="s">
        <v>201</v>
      </c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3"/>
      <c r="M58" s="96" t="str">
        <f aca="false">IF(B58="","",COUNTIF(Conversas!$B$5:$B$500,A58&amp;"*"))</f>
        <v/>
      </c>
      <c r="N58" s="97" t="str">
        <f aca="false">IF(B58="","",IF(M58=0,"",_xlfn.MAXIFS(Conversas!$C$5:$C$500,Conversas!$B$5:$B$500,A58&amp;"*")))</f>
        <v/>
      </c>
      <c r="O58" s="104"/>
      <c r="P58" s="99" t="str">
        <f aca="true">IF(B58="","",IF(O58="","Sem data",IF(O58&lt;TODAY(),"⚠ Atrasado",IF(O58-TODAY()&lt;=7,"Esta semana","Agendado"))))</f>
        <v/>
      </c>
      <c r="Q58" s="96" t="str">
        <f aca="false">IF(B58="","",COUNTIF('Geral - Soluções'!$E$5:$E$500,A58&amp;"*")+COUNTIF('Mentoring - Soluções'!$E$5:$E$500,A58&amp;"*")+COUNTIF('Feira - Soluções'!$E$5:$E$500,A58&amp;"*")+COUNTIF('Inova - Soluções'!$E$5:$E$500,A58&amp;"*")+COUNTIF('Sensibilizando - Soluções'!$E$5:$E$500,A58&amp;"*"))</f>
        <v/>
      </c>
      <c r="R58" s="102"/>
      <c r="S58" s="100" t="str">
        <f aca="false">IF(B58="","",A58&amp;" · "&amp;B58)</f>
        <v/>
      </c>
    </row>
    <row r="59" customFormat="false" ht="15" hidden="false" customHeight="false" outlineLevel="0" collapsed="false">
      <c r="A59" s="93" t="s">
        <v>202</v>
      </c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6"/>
      <c r="M59" s="96" t="str">
        <f aca="false">IF(B59="","",COUNTIF(Conversas!$B$5:$B$500,A59&amp;"*"))</f>
        <v/>
      </c>
      <c r="N59" s="97" t="str">
        <f aca="false">IF(B59="","",IF(M59=0,"",_xlfn.MAXIFS(Conversas!$C$5:$C$500,Conversas!$B$5:$B$500,A59&amp;"*")))</f>
        <v/>
      </c>
      <c r="O59" s="107"/>
      <c r="P59" s="99" t="str">
        <f aca="true">IF(B59="","",IF(O59="","Sem data",IF(O59&lt;TODAY(),"⚠ Atrasado",IF(O59-TODAY()&lt;=7,"Esta semana","Agendado"))))</f>
        <v/>
      </c>
      <c r="Q59" s="96" t="str">
        <f aca="false">IF(B59="","",COUNTIF('Geral - Soluções'!$E$5:$E$500,A59&amp;"*")+COUNTIF('Mentoring - Soluções'!$E$5:$E$500,A59&amp;"*")+COUNTIF('Feira - Soluções'!$E$5:$E$500,A59&amp;"*")+COUNTIF('Inova - Soluções'!$E$5:$E$500,A59&amp;"*")+COUNTIF('Sensibilizando - Soluções'!$E$5:$E$500,A59&amp;"*"))</f>
        <v/>
      </c>
      <c r="R59" s="105"/>
      <c r="S59" s="100" t="str">
        <f aca="false">IF(B59="","",A59&amp;" · "&amp;B59)</f>
        <v/>
      </c>
    </row>
    <row r="60" customFormat="false" ht="15" hidden="false" customHeight="false" outlineLevel="0" collapsed="false">
      <c r="A60" s="101" t="s">
        <v>203</v>
      </c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3"/>
      <c r="M60" s="96" t="str">
        <f aca="false">IF(B60="","",COUNTIF(Conversas!$B$5:$B$500,A60&amp;"*"))</f>
        <v/>
      </c>
      <c r="N60" s="97" t="str">
        <f aca="false">IF(B60="","",IF(M60=0,"",_xlfn.MAXIFS(Conversas!$C$5:$C$500,Conversas!$B$5:$B$500,A60&amp;"*")))</f>
        <v/>
      </c>
      <c r="O60" s="104"/>
      <c r="P60" s="99" t="str">
        <f aca="true">IF(B60="","",IF(O60="","Sem data",IF(O60&lt;TODAY(),"⚠ Atrasado",IF(O60-TODAY()&lt;=7,"Esta semana","Agendado"))))</f>
        <v/>
      </c>
      <c r="Q60" s="96" t="str">
        <f aca="false">IF(B60="","",COUNTIF('Geral - Soluções'!$E$5:$E$500,A60&amp;"*")+COUNTIF('Mentoring - Soluções'!$E$5:$E$500,A60&amp;"*")+COUNTIF('Feira - Soluções'!$E$5:$E$500,A60&amp;"*")+COUNTIF('Inova - Soluções'!$E$5:$E$500,A60&amp;"*")+COUNTIF('Sensibilizando - Soluções'!$E$5:$E$500,A60&amp;"*"))</f>
        <v/>
      </c>
      <c r="R60" s="102"/>
      <c r="S60" s="100" t="str">
        <f aca="false">IF(B60="","",A60&amp;" · "&amp;B60)</f>
        <v/>
      </c>
    </row>
    <row r="61" customFormat="false" ht="15" hidden="false" customHeight="false" outlineLevel="0" collapsed="false">
      <c r="A61" s="93" t="s">
        <v>204</v>
      </c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6"/>
      <c r="M61" s="96" t="str">
        <f aca="false">IF(B61="","",COUNTIF(Conversas!$B$5:$B$500,A61&amp;"*"))</f>
        <v/>
      </c>
      <c r="N61" s="97" t="str">
        <f aca="false">IF(B61="","",IF(M61=0,"",_xlfn.MAXIFS(Conversas!$C$5:$C$500,Conversas!$B$5:$B$500,A61&amp;"*")))</f>
        <v/>
      </c>
      <c r="O61" s="107"/>
      <c r="P61" s="99" t="str">
        <f aca="true">IF(B61="","",IF(O61="","Sem data",IF(O61&lt;TODAY(),"⚠ Atrasado",IF(O61-TODAY()&lt;=7,"Esta semana","Agendado"))))</f>
        <v/>
      </c>
      <c r="Q61" s="96" t="str">
        <f aca="false">IF(B61="","",COUNTIF('Geral - Soluções'!$E$5:$E$500,A61&amp;"*")+COUNTIF('Mentoring - Soluções'!$E$5:$E$500,A61&amp;"*")+COUNTIF('Feira - Soluções'!$E$5:$E$500,A61&amp;"*")+COUNTIF('Inova - Soluções'!$E$5:$E$500,A61&amp;"*")+COUNTIF('Sensibilizando - Soluções'!$E$5:$E$500,A61&amp;"*"))</f>
        <v/>
      </c>
      <c r="R61" s="105"/>
      <c r="S61" s="100" t="str">
        <f aca="false">IF(B61="","",A61&amp;" · "&amp;B61)</f>
        <v/>
      </c>
    </row>
    <row r="62" customFormat="false" ht="15" hidden="false" customHeight="false" outlineLevel="0" collapsed="false">
      <c r="A62" s="101" t="s">
        <v>205</v>
      </c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3"/>
      <c r="M62" s="96" t="str">
        <f aca="false">IF(B62="","",COUNTIF(Conversas!$B$5:$B$500,A62&amp;"*"))</f>
        <v/>
      </c>
      <c r="N62" s="97" t="str">
        <f aca="false">IF(B62="","",IF(M62=0,"",_xlfn.MAXIFS(Conversas!$C$5:$C$500,Conversas!$B$5:$B$500,A62&amp;"*")))</f>
        <v/>
      </c>
      <c r="O62" s="104"/>
      <c r="P62" s="99" t="str">
        <f aca="true">IF(B62="","",IF(O62="","Sem data",IF(O62&lt;TODAY(),"⚠ Atrasado",IF(O62-TODAY()&lt;=7,"Esta semana","Agendado"))))</f>
        <v/>
      </c>
      <c r="Q62" s="96" t="str">
        <f aca="false">IF(B62="","",COUNTIF('Geral - Soluções'!$E$5:$E$500,A62&amp;"*")+COUNTIF('Mentoring - Soluções'!$E$5:$E$500,A62&amp;"*")+COUNTIF('Feira - Soluções'!$E$5:$E$500,A62&amp;"*")+COUNTIF('Inova - Soluções'!$E$5:$E$500,A62&amp;"*")+COUNTIF('Sensibilizando - Soluções'!$E$5:$E$500,A62&amp;"*"))</f>
        <v/>
      </c>
      <c r="R62" s="102"/>
      <c r="S62" s="100" t="str">
        <f aca="false">IF(B62="","",A62&amp;" · "&amp;B62)</f>
        <v/>
      </c>
    </row>
    <row r="63" customFormat="false" ht="15" hidden="false" customHeight="false" outlineLevel="0" collapsed="false">
      <c r="A63" s="93" t="s">
        <v>206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6"/>
      <c r="M63" s="96" t="str">
        <f aca="false">IF(B63="","",COUNTIF(Conversas!$B$5:$B$500,A63&amp;"*"))</f>
        <v/>
      </c>
      <c r="N63" s="97" t="str">
        <f aca="false">IF(B63="","",IF(M63=0,"",_xlfn.MAXIFS(Conversas!$C$5:$C$500,Conversas!$B$5:$B$500,A63&amp;"*")))</f>
        <v/>
      </c>
      <c r="O63" s="107"/>
      <c r="P63" s="99" t="str">
        <f aca="true">IF(B63="","",IF(O63="","Sem data",IF(O63&lt;TODAY(),"⚠ Atrasado",IF(O63-TODAY()&lt;=7,"Esta semana","Agendado"))))</f>
        <v/>
      </c>
      <c r="Q63" s="96" t="str">
        <f aca="false">IF(B63="","",COUNTIF('Geral - Soluções'!$E$5:$E$500,A63&amp;"*")+COUNTIF('Mentoring - Soluções'!$E$5:$E$500,A63&amp;"*")+COUNTIF('Feira - Soluções'!$E$5:$E$500,A63&amp;"*")+COUNTIF('Inova - Soluções'!$E$5:$E$500,A63&amp;"*")+COUNTIF('Sensibilizando - Soluções'!$E$5:$E$500,A63&amp;"*"))</f>
        <v/>
      </c>
      <c r="R63" s="105"/>
      <c r="S63" s="100" t="str">
        <f aca="false">IF(B63="","",A63&amp;" · "&amp;B63)</f>
        <v/>
      </c>
    </row>
    <row r="64" customFormat="false" ht="15" hidden="false" customHeight="false" outlineLevel="0" collapsed="false">
      <c r="A64" s="101" t="s">
        <v>207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3"/>
      <c r="M64" s="96" t="str">
        <f aca="false">IF(B64="","",COUNTIF(Conversas!$B$5:$B$500,A64&amp;"*"))</f>
        <v/>
      </c>
      <c r="N64" s="97" t="str">
        <f aca="false">IF(B64="","",IF(M64=0,"",_xlfn.MAXIFS(Conversas!$C$5:$C$500,Conversas!$B$5:$B$500,A64&amp;"*")))</f>
        <v/>
      </c>
      <c r="O64" s="104"/>
      <c r="P64" s="99" t="str">
        <f aca="true">IF(B64="","",IF(O64="","Sem data",IF(O64&lt;TODAY(),"⚠ Atrasado",IF(O64-TODAY()&lt;=7,"Esta semana","Agendado"))))</f>
        <v/>
      </c>
      <c r="Q64" s="96" t="str">
        <f aca="false">IF(B64="","",COUNTIF('Geral - Soluções'!$E$5:$E$500,A64&amp;"*")+COUNTIF('Mentoring - Soluções'!$E$5:$E$500,A64&amp;"*")+COUNTIF('Feira - Soluções'!$E$5:$E$500,A64&amp;"*")+COUNTIF('Inova - Soluções'!$E$5:$E$500,A64&amp;"*")+COUNTIF('Sensibilizando - Soluções'!$E$5:$E$500,A64&amp;"*"))</f>
        <v/>
      </c>
      <c r="R64" s="102"/>
      <c r="S64" s="100" t="str">
        <f aca="false">IF(B64="","",A64&amp;" · "&amp;B64)</f>
        <v/>
      </c>
    </row>
    <row r="65" customFormat="false" ht="15" hidden="false" customHeight="false" outlineLevel="0" collapsed="false">
      <c r="A65" s="93" t="s">
        <v>208</v>
      </c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6"/>
      <c r="M65" s="96" t="str">
        <f aca="false">IF(B65="","",COUNTIF(Conversas!$B$5:$B$500,A65&amp;"*"))</f>
        <v/>
      </c>
      <c r="N65" s="97" t="str">
        <f aca="false">IF(B65="","",IF(M65=0,"",_xlfn.MAXIFS(Conversas!$C$5:$C$500,Conversas!$B$5:$B$500,A65&amp;"*")))</f>
        <v/>
      </c>
      <c r="O65" s="107"/>
      <c r="P65" s="99" t="str">
        <f aca="true">IF(B65="","",IF(O65="","Sem data",IF(O65&lt;TODAY(),"⚠ Atrasado",IF(O65-TODAY()&lt;=7,"Esta semana","Agendado"))))</f>
        <v/>
      </c>
      <c r="Q65" s="96" t="str">
        <f aca="false">IF(B65="","",COUNTIF('Geral - Soluções'!$E$5:$E$500,A65&amp;"*")+COUNTIF('Mentoring - Soluções'!$E$5:$E$500,A65&amp;"*")+COUNTIF('Feira - Soluções'!$E$5:$E$500,A65&amp;"*")+COUNTIF('Inova - Soluções'!$E$5:$E$500,A65&amp;"*")+COUNTIF('Sensibilizando - Soluções'!$E$5:$E$500,A65&amp;"*"))</f>
        <v/>
      </c>
      <c r="R65" s="105"/>
      <c r="S65" s="100" t="str">
        <f aca="false">IF(B65="","",A65&amp;" · "&amp;B65)</f>
        <v/>
      </c>
    </row>
    <row r="66" customFormat="false" ht="15" hidden="false" customHeight="false" outlineLevel="0" collapsed="false">
      <c r="A66" s="101" t="s">
        <v>209</v>
      </c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3"/>
      <c r="M66" s="96" t="str">
        <f aca="false">IF(B66="","",COUNTIF(Conversas!$B$5:$B$500,A66&amp;"*"))</f>
        <v/>
      </c>
      <c r="N66" s="97" t="str">
        <f aca="false">IF(B66="","",IF(M66=0,"",_xlfn.MAXIFS(Conversas!$C$5:$C$500,Conversas!$B$5:$B$500,A66&amp;"*")))</f>
        <v/>
      </c>
      <c r="O66" s="104"/>
      <c r="P66" s="99" t="str">
        <f aca="true">IF(B66="","",IF(O66="","Sem data",IF(O66&lt;TODAY(),"⚠ Atrasado",IF(O66-TODAY()&lt;=7,"Esta semana","Agendado"))))</f>
        <v/>
      </c>
      <c r="Q66" s="96" t="str">
        <f aca="false">IF(B66="","",COUNTIF('Geral - Soluções'!$E$5:$E$500,A66&amp;"*")+COUNTIF('Mentoring - Soluções'!$E$5:$E$500,A66&amp;"*")+COUNTIF('Feira - Soluções'!$E$5:$E$500,A66&amp;"*")+COUNTIF('Inova - Soluções'!$E$5:$E$500,A66&amp;"*")+COUNTIF('Sensibilizando - Soluções'!$E$5:$E$500,A66&amp;"*"))</f>
        <v/>
      </c>
      <c r="R66" s="102"/>
      <c r="S66" s="100" t="str">
        <f aca="false">IF(B66="","",A66&amp;" · "&amp;B66)</f>
        <v/>
      </c>
    </row>
    <row r="67" customFormat="false" ht="15" hidden="false" customHeight="false" outlineLevel="0" collapsed="false">
      <c r="A67" s="93" t="s">
        <v>210</v>
      </c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6"/>
      <c r="M67" s="96" t="str">
        <f aca="false">IF(B67="","",COUNTIF(Conversas!$B$5:$B$500,A67&amp;"*"))</f>
        <v/>
      </c>
      <c r="N67" s="97" t="str">
        <f aca="false">IF(B67="","",IF(M67=0,"",_xlfn.MAXIFS(Conversas!$C$5:$C$500,Conversas!$B$5:$B$500,A67&amp;"*")))</f>
        <v/>
      </c>
      <c r="O67" s="107"/>
      <c r="P67" s="99" t="str">
        <f aca="true">IF(B67="","",IF(O67="","Sem data",IF(O67&lt;TODAY(),"⚠ Atrasado",IF(O67-TODAY()&lt;=7,"Esta semana","Agendado"))))</f>
        <v/>
      </c>
      <c r="Q67" s="96" t="str">
        <f aca="false">IF(B67="","",COUNTIF('Geral - Soluções'!$E$5:$E$500,A67&amp;"*")+COUNTIF('Mentoring - Soluções'!$E$5:$E$500,A67&amp;"*")+COUNTIF('Feira - Soluções'!$E$5:$E$500,A67&amp;"*")+COUNTIF('Inova - Soluções'!$E$5:$E$500,A67&amp;"*")+COUNTIF('Sensibilizando - Soluções'!$E$5:$E$500,A67&amp;"*"))</f>
        <v/>
      </c>
      <c r="R67" s="105"/>
      <c r="S67" s="100" t="str">
        <f aca="false">IF(B67="","",A67&amp;" · "&amp;B67)</f>
        <v/>
      </c>
    </row>
    <row r="68" customFormat="false" ht="15" hidden="false" customHeight="false" outlineLevel="0" collapsed="false">
      <c r="A68" s="101" t="s">
        <v>211</v>
      </c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3"/>
      <c r="M68" s="96" t="str">
        <f aca="false">IF(B68="","",COUNTIF(Conversas!$B$5:$B$500,A68&amp;"*"))</f>
        <v/>
      </c>
      <c r="N68" s="97" t="str">
        <f aca="false">IF(B68="","",IF(M68=0,"",_xlfn.MAXIFS(Conversas!$C$5:$C$500,Conversas!$B$5:$B$500,A68&amp;"*")))</f>
        <v/>
      </c>
      <c r="O68" s="104"/>
      <c r="P68" s="99" t="str">
        <f aca="true">IF(B68="","",IF(O68="","Sem data",IF(O68&lt;TODAY(),"⚠ Atrasado",IF(O68-TODAY()&lt;=7,"Esta semana","Agendado"))))</f>
        <v/>
      </c>
      <c r="Q68" s="96" t="str">
        <f aca="false">IF(B68="","",COUNTIF('Geral - Soluções'!$E$5:$E$500,A68&amp;"*")+COUNTIF('Mentoring - Soluções'!$E$5:$E$500,A68&amp;"*")+COUNTIF('Feira - Soluções'!$E$5:$E$500,A68&amp;"*")+COUNTIF('Inova - Soluções'!$E$5:$E$500,A68&amp;"*")+COUNTIF('Sensibilizando - Soluções'!$E$5:$E$500,A68&amp;"*"))</f>
        <v/>
      </c>
      <c r="R68" s="102"/>
      <c r="S68" s="100" t="str">
        <f aca="false">IF(B68="","",A68&amp;" · "&amp;B68)</f>
        <v/>
      </c>
    </row>
    <row r="69" customFormat="false" ht="15" hidden="false" customHeight="false" outlineLevel="0" collapsed="false">
      <c r="A69" s="93" t="s">
        <v>212</v>
      </c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6"/>
      <c r="M69" s="96" t="str">
        <f aca="false">IF(B69="","",COUNTIF(Conversas!$B$5:$B$500,A69&amp;"*"))</f>
        <v/>
      </c>
      <c r="N69" s="97" t="str">
        <f aca="false">IF(B69="","",IF(M69=0,"",_xlfn.MAXIFS(Conversas!$C$5:$C$500,Conversas!$B$5:$B$500,A69&amp;"*")))</f>
        <v/>
      </c>
      <c r="O69" s="107"/>
      <c r="P69" s="99" t="str">
        <f aca="true">IF(B69="","",IF(O69="","Sem data",IF(O69&lt;TODAY(),"⚠ Atrasado",IF(O69-TODAY()&lt;=7,"Esta semana","Agendado"))))</f>
        <v/>
      </c>
      <c r="Q69" s="96" t="str">
        <f aca="false">IF(B69="","",COUNTIF('Geral - Soluções'!$E$5:$E$500,A69&amp;"*")+COUNTIF('Mentoring - Soluções'!$E$5:$E$500,A69&amp;"*")+COUNTIF('Feira - Soluções'!$E$5:$E$500,A69&amp;"*")+COUNTIF('Inova - Soluções'!$E$5:$E$500,A69&amp;"*")+COUNTIF('Sensibilizando - Soluções'!$E$5:$E$500,A69&amp;"*"))</f>
        <v/>
      </c>
      <c r="R69" s="105"/>
      <c r="S69" s="100" t="str">
        <f aca="false">IF(B69="","",A69&amp;" · "&amp;B69)</f>
        <v/>
      </c>
    </row>
    <row r="70" customFormat="false" ht="15" hidden="false" customHeight="false" outlineLevel="0" collapsed="false">
      <c r="A70" s="101" t="s">
        <v>213</v>
      </c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3"/>
      <c r="M70" s="96" t="str">
        <f aca="false">IF(B70="","",COUNTIF(Conversas!$B$5:$B$500,A70&amp;"*"))</f>
        <v/>
      </c>
      <c r="N70" s="97" t="str">
        <f aca="false">IF(B70="","",IF(M70=0,"",_xlfn.MAXIFS(Conversas!$C$5:$C$500,Conversas!$B$5:$B$500,A70&amp;"*")))</f>
        <v/>
      </c>
      <c r="O70" s="104"/>
      <c r="P70" s="99" t="str">
        <f aca="true">IF(B70="","",IF(O70="","Sem data",IF(O70&lt;TODAY(),"⚠ Atrasado",IF(O70-TODAY()&lt;=7,"Esta semana","Agendado"))))</f>
        <v/>
      </c>
      <c r="Q70" s="96" t="str">
        <f aca="false">IF(B70="","",COUNTIF('Geral - Soluções'!$E$5:$E$500,A70&amp;"*")+COUNTIF('Mentoring - Soluções'!$E$5:$E$500,A70&amp;"*")+COUNTIF('Feira - Soluções'!$E$5:$E$500,A70&amp;"*")+COUNTIF('Inova - Soluções'!$E$5:$E$500,A70&amp;"*")+COUNTIF('Sensibilizando - Soluções'!$E$5:$E$500,A70&amp;"*"))</f>
        <v/>
      </c>
      <c r="R70" s="102"/>
      <c r="S70" s="100" t="str">
        <f aca="false">IF(B70="","",A70&amp;" · "&amp;B70)</f>
        <v/>
      </c>
    </row>
    <row r="71" customFormat="false" ht="15" hidden="false" customHeight="false" outlineLevel="0" collapsed="false">
      <c r="A71" s="93" t="s">
        <v>214</v>
      </c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6"/>
      <c r="M71" s="96" t="str">
        <f aca="false">IF(B71="","",COUNTIF(Conversas!$B$5:$B$500,A71&amp;"*"))</f>
        <v/>
      </c>
      <c r="N71" s="97" t="str">
        <f aca="false">IF(B71="","",IF(M71=0,"",_xlfn.MAXIFS(Conversas!$C$5:$C$500,Conversas!$B$5:$B$500,A71&amp;"*")))</f>
        <v/>
      </c>
      <c r="O71" s="107"/>
      <c r="P71" s="99" t="str">
        <f aca="true">IF(B71="","",IF(O71="","Sem data",IF(O71&lt;TODAY(),"⚠ Atrasado",IF(O71-TODAY()&lt;=7,"Esta semana","Agendado"))))</f>
        <v/>
      </c>
      <c r="Q71" s="96" t="str">
        <f aca="false">IF(B71="","",COUNTIF('Geral - Soluções'!$E$5:$E$500,A71&amp;"*")+COUNTIF('Mentoring - Soluções'!$E$5:$E$500,A71&amp;"*")+COUNTIF('Feira - Soluções'!$E$5:$E$500,A71&amp;"*")+COUNTIF('Inova - Soluções'!$E$5:$E$500,A71&amp;"*")+COUNTIF('Sensibilizando - Soluções'!$E$5:$E$500,A71&amp;"*"))</f>
        <v/>
      </c>
      <c r="R71" s="105"/>
      <c r="S71" s="100" t="str">
        <f aca="false">IF(B71="","",A71&amp;" · "&amp;B71)</f>
        <v/>
      </c>
    </row>
    <row r="72" customFormat="false" ht="15" hidden="false" customHeight="false" outlineLevel="0" collapsed="false">
      <c r="A72" s="101" t="s">
        <v>215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3"/>
      <c r="M72" s="96" t="str">
        <f aca="false">IF(B72="","",COUNTIF(Conversas!$B$5:$B$500,A72&amp;"*"))</f>
        <v/>
      </c>
      <c r="N72" s="97" t="str">
        <f aca="false">IF(B72="","",IF(M72=0,"",_xlfn.MAXIFS(Conversas!$C$5:$C$500,Conversas!$B$5:$B$500,A72&amp;"*")))</f>
        <v/>
      </c>
      <c r="O72" s="104"/>
      <c r="P72" s="99" t="str">
        <f aca="true">IF(B72="","",IF(O72="","Sem data",IF(O72&lt;TODAY(),"⚠ Atrasado",IF(O72-TODAY()&lt;=7,"Esta semana","Agendado"))))</f>
        <v/>
      </c>
      <c r="Q72" s="96" t="str">
        <f aca="false">IF(B72="","",COUNTIF('Geral - Soluções'!$E$5:$E$500,A72&amp;"*")+COUNTIF('Mentoring - Soluções'!$E$5:$E$500,A72&amp;"*")+COUNTIF('Feira - Soluções'!$E$5:$E$500,A72&amp;"*")+COUNTIF('Inova - Soluções'!$E$5:$E$500,A72&amp;"*")+COUNTIF('Sensibilizando - Soluções'!$E$5:$E$500,A72&amp;"*"))</f>
        <v/>
      </c>
      <c r="R72" s="102"/>
      <c r="S72" s="100" t="str">
        <f aca="false">IF(B72="","",A72&amp;" · "&amp;B72)</f>
        <v/>
      </c>
    </row>
    <row r="73" customFormat="false" ht="15" hidden="false" customHeight="false" outlineLevel="0" collapsed="false">
      <c r="A73" s="93" t="s">
        <v>216</v>
      </c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6"/>
      <c r="M73" s="96" t="str">
        <f aca="false">IF(B73="","",COUNTIF(Conversas!$B$5:$B$500,A73&amp;"*"))</f>
        <v/>
      </c>
      <c r="N73" s="97" t="str">
        <f aca="false">IF(B73="","",IF(M73=0,"",_xlfn.MAXIFS(Conversas!$C$5:$C$500,Conversas!$B$5:$B$500,A73&amp;"*")))</f>
        <v/>
      </c>
      <c r="O73" s="107"/>
      <c r="P73" s="99" t="str">
        <f aca="true">IF(B73="","",IF(O73="","Sem data",IF(O73&lt;TODAY(),"⚠ Atrasado",IF(O73-TODAY()&lt;=7,"Esta semana","Agendado"))))</f>
        <v/>
      </c>
      <c r="Q73" s="96" t="str">
        <f aca="false">IF(B73="","",COUNTIF('Geral - Soluções'!$E$5:$E$500,A73&amp;"*")+COUNTIF('Mentoring - Soluções'!$E$5:$E$500,A73&amp;"*")+COUNTIF('Feira - Soluções'!$E$5:$E$500,A73&amp;"*")+COUNTIF('Inova - Soluções'!$E$5:$E$500,A73&amp;"*")+COUNTIF('Sensibilizando - Soluções'!$E$5:$E$500,A73&amp;"*"))</f>
        <v/>
      </c>
      <c r="R73" s="105"/>
      <c r="S73" s="100" t="str">
        <f aca="false">IF(B73="","",A73&amp;" · "&amp;B73)</f>
        <v/>
      </c>
    </row>
    <row r="74" customFormat="false" ht="15" hidden="false" customHeight="false" outlineLevel="0" collapsed="false">
      <c r="A74" s="101" t="s">
        <v>217</v>
      </c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3"/>
      <c r="M74" s="96" t="str">
        <f aca="false">IF(B74="","",COUNTIF(Conversas!$B$5:$B$500,A74&amp;"*"))</f>
        <v/>
      </c>
      <c r="N74" s="97" t="str">
        <f aca="false">IF(B74="","",IF(M74=0,"",_xlfn.MAXIFS(Conversas!$C$5:$C$500,Conversas!$B$5:$B$500,A74&amp;"*")))</f>
        <v/>
      </c>
      <c r="O74" s="104"/>
      <c r="P74" s="99" t="str">
        <f aca="true">IF(B74="","",IF(O74="","Sem data",IF(O74&lt;TODAY(),"⚠ Atrasado",IF(O74-TODAY()&lt;=7,"Esta semana","Agendado"))))</f>
        <v/>
      </c>
      <c r="Q74" s="96" t="str">
        <f aca="false">IF(B74="","",COUNTIF('Geral - Soluções'!$E$5:$E$500,A74&amp;"*")+COUNTIF('Mentoring - Soluções'!$E$5:$E$500,A74&amp;"*")+COUNTIF('Feira - Soluções'!$E$5:$E$500,A74&amp;"*")+COUNTIF('Inova - Soluções'!$E$5:$E$500,A74&amp;"*")+COUNTIF('Sensibilizando - Soluções'!$E$5:$E$500,A74&amp;"*"))</f>
        <v/>
      </c>
      <c r="R74" s="102"/>
      <c r="S74" s="100" t="str">
        <f aca="false">IF(B74="","",A74&amp;" · "&amp;B74)</f>
        <v/>
      </c>
    </row>
    <row r="75" customFormat="false" ht="15" hidden="false" customHeight="false" outlineLevel="0" collapsed="false">
      <c r="A75" s="93" t="s">
        <v>218</v>
      </c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6"/>
      <c r="M75" s="96" t="str">
        <f aca="false">IF(B75="","",COUNTIF(Conversas!$B$5:$B$500,A75&amp;"*"))</f>
        <v/>
      </c>
      <c r="N75" s="97" t="str">
        <f aca="false">IF(B75="","",IF(M75=0,"",_xlfn.MAXIFS(Conversas!$C$5:$C$500,Conversas!$B$5:$B$500,A75&amp;"*")))</f>
        <v/>
      </c>
      <c r="O75" s="107"/>
      <c r="P75" s="99" t="str">
        <f aca="true">IF(B75="","",IF(O75="","Sem data",IF(O75&lt;TODAY(),"⚠ Atrasado",IF(O75-TODAY()&lt;=7,"Esta semana","Agendado"))))</f>
        <v/>
      </c>
      <c r="Q75" s="96" t="str">
        <f aca="false">IF(B75="","",COUNTIF('Geral - Soluções'!$E$5:$E$500,A75&amp;"*")+COUNTIF('Mentoring - Soluções'!$E$5:$E$500,A75&amp;"*")+COUNTIF('Feira - Soluções'!$E$5:$E$500,A75&amp;"*")+COUNTIF('Inova - Soluções'!$E$5:$E$500,A75&amp;"*")+COUNTIF('Sensibilizando - Soluções'!$E$5:$E$500,A75&amp;"*"))</f>
        <v/>
      </c>
      <c r="R75" s="105"/>
      <c r="S75" s="100" t="str">
        <f aca="false">IF(B75="","",A75&amp;" · "&amp;B75)</f>
        <v/>
      </c>
    </row>
    <row r="76" customFormat="false" ht="15" hidden="false" customHeight="false" outlineLevel="0" collapsed="false">
      <c r="A76" s="101" t="s">
        <v>219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3"/>
      <c r="M76" s="96" t="str">
        <f aca="false">IF(B76="","",COUNTIF(Conversas!$B$5:$B$500,A76&amp;"*"))</f>
        <v/>
      </c>
      <c r="N76" s="97" t="str">
        <f aca="false">IF(B76="","",IF(M76=0,"",_xlfn.MAXIFS(Conversas!$C$5:$C$500,Conversas!$B$5:$B$500,A76&amp;"*")))</f>
        <v/>
      </c>
      <c r="O76" s="104"/>
      <c r="P76" s="99" t="str">
        <f aca="true">IF(B76="","",IF(O76="","Sem data",IF(O76&lt;TODAY(),"⚠ Atrasado",IF(O76-TODAY()&lt;=7,"Esta semana","Agendado"))))</f>
        <v/>
      </c>
      <c r="Q76" s="96" t="str">
        <f aca="false">IF(B76="","",COUNTIF('Geral - Soluções'!$E$5:$E$500,A76&amp;"*")+COUNTIF('Mentoring - Soluções'!$E$5:$E$500,A76&amp;"*")+COUNTIF('Feira - Soluções'!$E$5:$E$500,A76&amp;"*")+COUNTIF('Inova - Soluções'!$E$5:$E$500,A76&amp;"*")+COUNTIF('Sensibilizando - Soluções'!$E$5:$E$500,A76&amp;"*"))</f>
        <v/>
      </c>
      <c r="R76" s="102"/>
      <c r="S76" s="100" t="str">
        <f aca="false">IF(B76="","",A76&amp;" · "&amp;B76)</f>
        <v/>
      </c>
    </row>
    <row r="77" customFormat="false" ht="15" hidden="false" customHeight="false" outlineLevel="0" collapsed="false">
      <c r="A77" s="93" t="s">
        <v>220</v>
      </c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6"/>
      <c r="M77" s="96" t="str">
        <f aca="false">IF(B77="","",COUNTIF(Conversas!$B$5:$B$500,A77&amp;"*"))</f>
        <v/>
      </c>
      <c r="N77" s="97" t="str">
        <f aca="false">IF(B77="","",IF(M77=0,"",_xlfn.MAXIFS(Conversas!$C$5:$C$500,Conversas!$B$5:$B$500,A77&amp;"*")))</f>
        <v/>
      </c>
      <c r="O77" s="107"/>
      <c r="P77" s="99" t="str">
        <f aca="true">IF(B77="","",IF(O77="","Sem data",IF(O77&lt;TODAY(),"⚠ Atrasado",IF(O77-TODAY()&lt;=7,"Esta semana","Agendado"))))</f>
        <v/>
      </c>
      <c r="Q77" s="96" t="str">
        <f aca="false">IF(B77="","",COUNTIF('Geral - Soluções'!$E$5:$E$500,A77&amp;"*")+COUNTIF('Mentoring - Soluções'!$E$5:$E$500,A77&amp;"*")+COUNTIF('Feira - Soluções'!$E$5:$E$500,A77&amp;"*")+COUNTIF('Inova - Soluções'!$E$5:$E$500,A77&amp;"*")+COUNTIF('Sensibilizando - Soluções'!$E$5:$E$500,A77&amp;"*"))</f>
        <v/>
      </c>
      <c r="R77" s="105"/>
      <c r="S77" s="100" t="str">
        <f aca="false">IF(B77="","",A77&amp;" · "&amp;B77)</f>
        <v/>
      </c>
    </row>
    <row r="78" customFormat="false" ht="15" hidden="false" customHeight="false" outlineLevel="0" collapsed="false">
      <c r="A78" s="101" t="s">
        <v>221</v>
      </c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3"/>
      <c r="M78" s="96" t="str">
        <f aca="false">IF(B78="","",COUNTIF(Conversas!$B$5:$B$500,A78&amp;"*"))</f>
        <v/>
      </c>
      <c r="N78" s="97" t="str">
        <f aca="false">IF(B78="","",IF(M78=0,"",_xlfn.MAXIFS(Conversas!$C$5:$C$500,Conversas!$B$5:$B$500,A78&amp;"*")))</f>
        <v/>
      </c>
      <c r="O78" s="104"/>
      <c r="P78" s="99" t="str">
        <f aca="true">IF(B78="","",IF(O78="","Sem data",IF(O78&lt;TODAY(),"⚠ Atrasado",IF(O78-TODAY()&lt;=7,"Esta semana","Agendado"))))</f>
        <v/>
      </c>
      <c r="Q78" s="96" t="str">
        <f aca="false">IF(B78="","",COUNTIF('Geral - Soluções'!$E$5:$E$500,A78&amp;"*")+COUNTIF('Mentoring - Soluções'!$E$5:$E$500,A78&amp;"*")+COUNTIF('Feira - Soluções'!$E$5:$E$500,A78&amp;"*")+COUNTIF('Inova - Soluções'!$E$5:$E$500,A78&amp;"*")+COUNTIF('Sensibilizando - Soluções'!$E$5:$E$500,A78&amp;"*"))</f>
        <v/>
      </c>
      <c r="R78" s="102"/>
      <c r="S78" s="100" t="str">
        <f aca="false">IF(B78="","",A78&amp;" · "&amp;B78)</f>
        <v/>
      </c>
    </row>
    <row r="79" customFormat="false" ht="15" hidden="false" customHeight="false" outlineLevel="0" collapsed="false">
      <c r="A79" s="93" t="s">
        <v>222</v>
      </c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6"/>
      <c r="M79" s="96" t="str">
        <f aca="false">IF(B79="","",COUNTIF(Conversas!$B$5:$B$500,A79&amp;"*"))</f>
        <v/>
      </c>
      <c r="N79" s="97" t="str">
        <f aca="false">IF(B79="","",IF(M79=0,"",_xlfn.MAXIFS(Conversas!$C$5:$C$500,Conversas!$B$5:$B$500,A79&amp;"*")))</f>
        <v/>
      </c>
      <c r="O79" s="107"/>
      <c r="P79" s="99" t="str">
        <f aca="true">IF(B79="","",IF(O79="","Sem data",IF(O79&lt;TODAY(),"⚠ Atrasado",IF(O79-TODAY()&lt;=7,"Esta semana","Agendado"))))</f>
        <v/>
      </c>
      <c r="Q79" s="96" t="str">
        <f aca="false">IF(B79="","",COUNTIF('Geral - Soluções'!$E$5:$E$500,A79&amp;"*")+COUNTIF('Mentoring - Soluções'!$E$5:$E$500,A79&amp;"*")+COUNTIF('Feira - Soluções'!$E$5:$E$500,A79&amp;"*")+COUNTIF('Inova - Soluções'!$E$5:$E$500,A79&amp;"*")+COUNTIF('Sensibilizando - Soluções'!$E$5:$E$500,A79&amp;"*"))</f>
        <v/>
      </c>
      <c r="R79" s="105"/>
      <c r="S79" s="100" t="str">
        <f aca="false">IF(B79="","",A79&amp;" · "&amp;B79)</f>
        <v/>
      </c>
    </row>
    <row r="80" customFormat="false" ht="15" hidden="false" customHeight="false" outlineLevel="0" collapsed="false">
      <c r="A80" s="101" t="s">
        <v>223</v>
      </c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3"/>
      <c r="M80" s="96" t="str">
        <f aca="false">IF(B80="","",COUNTIF(Conversas!$B$5:$B$500,A80&amp;"*"))</f>
        <v/>
      </c>
      <c r="N80" s="97" t="str">
        <f aca="false">IF(B80="","",IF(M80=0,"",_xlfn.MAXIFS(Conversas!$C$5:$C$500,Conversas!$B$5:$B$500,A80&amp;"*")))</f>
        <v/>
      </c>
      <c r="O80" s="104"/>
      <c r="P80" s="99" t="str">
        <f aca="true">IF(B80="","",IF(O80="","Sem data",IF(O80&lt;TODAY(),"⚠ Atrasado",IF(O80-TODAY()&lt;=7,"Esta semana","Agendado"))))</f>
        <v/>
      </c>
      <c r="Q80" s="96" t="str">
        <f aca="false">IF(B80="","",COUNTIF('Geral - Soluções'!$E$5:$E$500,A80&amp;"*")+COUNTIF('Mentoring - Soluções'!$E$5:$E$500,A80&amp;"*")+COUNTIF('Feira - Soluções'!$E$5:$E$500,A80&amp;"*")+COUNTIF('Inova - Soluções'!$E$5:$E$500,A80&amp;"*")+COUNTIF('Sensibilizando - Soluções'!$E$5:$E$500,A80&amp;"*"))</f>
        <v/>
      </c>
      <c r="R80" s="102"/>
      <c r="S80" s="100" t="str">
        <f aca="false">IF(B80="","",A80&amp;" · "&amp;B80)</f>
        <v/>
      </c>
    </row>
    <row r="81" customFormat="false" ht="15" hidden="false" customHeight="false" outlineLevel="0" collapsed="false">
      <c r="A81" s="93" t="s">
        <v>224</v>
      </c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6"/>
      <c r="M81" s="96" t="str">
        <f aca="false">IF(B81="","",COUNTIF(Conversas!$B$5:$B$500,A81&amp;"*"))</f>
        <v/>
      </c>
      <c r="N81" s="97" t="str">
        <f aca="false">IF(B81="","",IF(M81=0,"",_xlfn.MAXIFS(Conversas!$C$5:$C$500,Conversas!$B$5:$B$500,A81&amp;"*")))</f>
        <v/>
      </c>
      <c r="O81" s="107"/>
      <c r="P81" s="99" t="str">
        <f aca="true">IF(B81="","",IF(O81="","Sem data",IF(O81&lt;TODAY(),"⚠ Atrasado",IF(O81-TODAY()&lt;=7,"Esta semana","Agendado"))))</f>
        <v/>
      </c>
      <c r="Q81" s="96" t="str">
        <f aca="false">IF(B81="","",COUNTIF('Geral - Soluções'!$E$5:$E$500,A81&amp;"*")+COUNTIF('Mentoring - Soluções'!$E$5:$E$500,A81&amp;"*")+COUNTIF('Feira - Soluções'!$E$5:$E$500,A81&amp;"*")+COUNTIF('Inova - Soluções'!$E$5:$E$500,A81&amp;"*")+COUNTIF('Sensibilizando - Soluções'!$E$5:$E$500,A81&amp;"*"))</f>
        <v/>
      </c>
      <c r="R81" s="105"/>
      <c r="S81" s="100" t="str">
        <f aca="false">IF(B81="","",A81&amp;" · "&amp;B81)</f>
        <v/>
      </c>
    </row>
    <row r="82" customFormat="false" ht="15" hidden="false" customHeight="false" outlineLevel="0" collapsed="false">
      <c r="A82" s="101" t="s">
        <v>225</v>
      </c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3"/>
      <c r="M82" s="96" t="str">
        <f aca="false">IF(B82="","",COUNTIF(Conversas!$B$5:$B$500,A82&amp;"*"))</f>
        <v/>
      </c>
      <c r="N82" s="97" t="str">
        <f aca="false">IF(B82="","",IF(M82=0,"",_xlfn.MAXIFS(Conversas!$C$5:$C$500,Conversas!$B$5:$B$500,A82&amp;"*")))</f>
        <v/>
      </c>
      <c r="O82" s="104"/>
      <c r="P82" s="99" t="str">
        <f aca="true">IF(B82="","",IF(O82="","Sem data",IF(O82&lt;TODAY(),"⚠ Atrasado",IF(O82-TODAY()&lt;=7,"Esta semana","Agendado"))))</f>
        <v/>
      </c>
      <c r="Q82" s="96" t="str">
        <f aca="false">IF(B82="","",COUNTIF('Geral - Soluções'!$E$5:$E$500,A82&amp;"*")+COUNTIF('Mentoring - Soluções'!$E$5:$E$500,A82&amp;"*")+COUNTIF('Feira - Soluções'!$E$5:$E$500,A82&amp;"*")+COUNTIF('Inova - Soluções'!$E$5:$E$500,A82&amp;"*")+COUNTIF('Sensibilizando - Soluções'!$E$5:$E$500,A82&amp;"*"))</f>
        <v/>
      </c>
      <c r="R82" s="102"/>
      <c r="S82" s="100" t="str">
        <f aca="false">IF(B82="","",A82&amp;" · "&amp;B82)</f>
        <v/>
      </c>
    </row>
    <row r="83" customFormat="false" ht="15" hidden="false" customHeight="false" outlineLevel="0" collapsed="false">
      <c r="A83" s="93" t="s">
        <v>226</v>
      </c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6"/>
      <c r="M83" s="96" t="str">
        <f aca="false">IF(B83="","",COUNTIF(Conversas!$B$5:$B$500,A83&amp;"*"))</f>
        <v/>
      </c>
      <c r="N83" s="97" t="str">
        <f aca="false">IF(B83="","",IF(M83=0,"",_xlfn.MAXIFS(Conversas!$C$5:$C$500,Conversas!$B$5:$B$500,A83&amp;"*")))</f>
        <v/>
      </c>
      <c r="O83" s="107"/>
      <c r="P83" s="99" t="str">
        <f aca="true">IF(B83="","",IF(O83="","Sem data",IF(O83&lt;TODAY(),"⚠ Atrasado",IF(O83-TODAY()&lt;=7,"Esta semana","Agendado"))))</f>
        <v/>
      </c>
      <c r="Q83" s="96" t="str">
        <f aca="false">IF(B83="","",COUNTIF('Geral - Soluções'!$E$5:$E$500,A83&amp;"*")+COUNTIF('Mentoring - Soluções'!$E$5:$E$500,A83&amp;"*")+COUNTIF('Feira - Soluções'!$E$5:$E$500,A83&amp;"*")+COUNTIF('Inova - Soluções'!$E$5:$E$500,A83&amp;"*")+COUNTIF('Sensibilizando - Soluções'!$E$5:$E$500,A83&amp;"*"))</f>
        <v/>
      </c>
      <c r="R83" s="105"/>
      <c r="S83" s="100" t="str">
        <f aca="false">IF(B83="","",A83&amp;" · "&amp;B83)</f>
        <v/>
      </c>
    </row>
    <row r="84" customFormat="false" ht="15" hidden="false" customHeight="false" outlineLevel="0" collapsed="false">
      <c r="A84" s="101" t="s">
        <v>227</v>
      </c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3"/>
      <c r="M84" s="96" t="str">
        <f aca="false">IF(B84="","",COUNTIF(Conversas!$B$5:$B$500,A84&amp;"*"))</f>
        <v/>
      </c>
      <c r="N84" s="97" t="str">
        <f aca="false">IF(B84="","",IF(M84=0,"",_xlfn.MAXIFS(Conversas!$C$5:$C$500,Conversas!$B$5:$B$500,A84&amp;"*")))</f>
        <v/>
      </c>
      <c r="O84" s="104"/>
      <c r="P84" s="99" t="str">
        <f aca="true">IF(B84="","",IF(O84="","Sem data",IF(O84&lt;TODAY(),"⚠ Atrasado",IF(O84-TODAY()&lt;=7,"Esta semana","Agendado"))))</f>
        <v/>
      </c>
      <c r="Q84" s="96" t="str">
        <f aca="false">IF(B84="","",COUNTIF('Geral - Soluções'!$E$5:$E$500,A84&amp;"*")+COUNTIF('Mentoring - Soluções'!$E$5:$E$500,A84&amp;"*")+COUNTIF('Feira - Soluções'!$E$5:$E$500,A84&amp;"*")+COUNTIF('Inova - Soluções'!$E$5:$E$500,A84&amp;"*")+COUNTIF('Sensibilizando - Soluções'!$E$5:$E$500,A84&amp;"*"))</f>
        <v/>
      </c>
      <c r="R84" s="102"/>
      <c r="S84" s="100" t="str">
        <f aca="false">IF(B84="","",A84&amp;" · "&amp;B84)</f>
        <v/>
      </c>
    </row>
    <row r="85" customFormat="false" ht="15" hidden="false" customHeight="false" outlineLevel="0" collapsed="false">
      <c r="A85" s="93" t="s">
        <v>228</v>
      </c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6"/>
      <c r="M85" s="96" t="str">
        <f aca="false">IF(B85="","",COUNTIF(Conversas!$B$5:$B$500,A85&amp;"*"))</f>
        <v/>
      </c>
      <c r="N85" s="97" t="str">
        <f aca="false">IF(B85="","",IF(M85=0,"",_xlfn.MAXIFS(Conversas!$C$5:$C$500,Conversas!$B$5:$B$500,A85&amp;"*")))</f>
        <v/>
      </c>
      <c r="O85" s="107"/>
      <c r="P85" s="99" t="str">
        <f aca="true">IF(B85="","",IF(O85="","Sem data",IF(O85&lt;TODAY(),"⚠ Atrasado",IF(O85-TODAY()&lt;=7,"Esta semana","Agendado"))))</f>
        <v/>
      </c>
      <c r="Q85" s="96" t="str">
        <f aca="false">IF(B85="","",COUNTIF('Geral - Soluções'!$E$5:$E$500,A85&amp;"*")+COUNTIF('Mentoring - Soluções'!$E$5:$E$500,A85&amp;"*")+COUNTIF('Feira - Soluções'!$E$5:$E$500,A85&amp;"*")+COUNTIF('Inova - Soluções'!$E$5:$E$500,A85&amp;"*")+COUNTIF('Sensibilizando - Soluções'!$E$5:$E$500,A85&amp;"*"))</f>
        <v/>
      </c>
      <c r="R85" s="105"/>
      <c r="S85" s="100" t="str">
        <f aca="false">IF(B85="","",A85&amp;" · "&amp;B85)</f>
        <v/>
      </c>
    </row>
    <row r="86" customFormat="false" ht="15" hidden="false" customHeight="false" outlineLevel="0" collapsed="false">
      <c r="A86" s="101" t="s">
        <v>229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3"/>
      <c r="M86" s="96" t="str">
        <f aca="false">IF(B86="","",COUNTIF(Conversas!$B$5:$B$500,A86&amp;"*"))</f>
        <v/>
      </c>
      <c r="N86" s="97" t="str">
        <f aca="false">IF(B86="","",IF(M86=0,"",_xlfn.MAXIFS(Conversas!$C$5:$C$500,Conversas!$B$5:$B$500,A86&amp;"*")))</f>
        <v/>
      </c>
      <c r="O86" s="104"/>
      <c r="P86" s="99" t="str">
        <f aca="true">IF(B86="","",IF(O86="","Sem data",IF(O86&lt;TODAY(),"⚠ Atrasado",IF(O86-TODAY()&lt;=7,"Esta semana","Agendado"))))</f>
        <v/>
      </c>
      <c r="Q86" s="96" t="str">
        <f aca="false">IF(B86="","",COUNTIF('Geral - Soluções'!$E$5:$E$500,A86&amp;"*")+COUNTIF('Mentoring - Soluções'!$E$5:$E$500,A86&amp;"*")+COUNTIF('Feira - Soluções'!$E$5:$E$500,A86&amp;"*")+COUNTIF('Inova - Soluções'!$E$5:$E$500,A86&amp;"*")+COUNTIF('Sensibilizando - Soluções'!$E$5:$E$500,A86&amp;"*"))</f>
        <v/>
      </c>
      <c r="R86" s="102"/>
      <c r="S86" s="100" t="str">
        <f aca="false">IF(B86="","",A86&amp;" · "&amp;B86)</f>
        <v/>
      </c>
    </row>
    <row r="87" customFormat="false" ht="15" hidden="false" customHeight="false" outlineLevel="0" collapsed="false">
      <c r="A87" s="93" t="s">
        <v>230</v>
      </c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6"/>
      <c r="M87" s="96" t="str">
        <f aca="false">IF(B87="","",COUNTIF(Conversas!$B$5:$B$500,A87&amp;"*"))</f>
        <v/>
      </c>
      <c r="N87" s="97" t="str">
        <f aca="false">IF(B87="","",IF(M87=0,"",_xlfn.MAXIFS(Conversas!$C$5:$C$500,Conversas!$B$5:$B$500,A87&amp;"*")))</f>
        <v/>
      </c>
      <c r="O87" s="107"/>
      <c r="P87" s="99" t="str">
        <f aca="true">IF(B87="","",IF(O87="","Sem data",IF(O87&lt;TODAY(),"⚠ Atrasado",IF(O87-TODAY()&lt;=7,"Esta semana","Agendado"))))</f>
        <v/>
      </c>
      <c r="Q87" s="96" t="str">
        <f aca="false">IF(B87="","",COUNTIF('Geral - Soluções'!$E$5:$E$500,A87&amp;"*")+COUNTIF('Mentoring - Soluções'!$E$5:$E$500,A87&amp;"*")+COUNTIF('Feira - Soluções'!$E$5:$E$500,A87&amp;"*")+COUNTIF('Inova - Soluções'!$E$5:$E$500,A87&amp;"*")+COUNTIF('Sensibilizando - Soluções'!$E$5:$E$500,A87&amp;"*"))</f>
        <v/>
      </c>
      <c r="R87" s="105"/>
      <c r="S87" s="100" t="str">
        <f aca="false">IF(B87="","",A87&amp;" · "&amp;B87)</f>
        <v/>
      </c>
    </row>
    <row r="88" customFormat="false" ht="15" hidden="false" customHeight="false" outlineLevel="0" collapsed="false">
      <c r="A88" s="101" t="s">
        <v>231</v>
      </c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3"/>
      <c r="M88" s="96" t="str">
        <f aca="false">IF(B88="","",COUNTIF(Conversas!$B$5:$B$500,A88&amp;"*"))</f>
        <v/>
      </c>
      <c r="N88" s="97" t="str">
        <f aca="false">IF(B88="","",IF(M88=0,"",_xlfn.MAXIFS(Conversas!$C$5:$C$500,Conversas!$B$5:$B$500,A88&amp;"*")))</f>
        <v/>
      </c>
      <c r="O88" s="104"/>
      <c r="P88" s="99" t="str">
        <f aca="true">IF(B88="","",IF(O88="","Sem data",IF(O88&lt;TODAY(),"⚠ Atrasado",IF(O88-TODAY()&lt;=7,"Esta semana","Agendado"))))</f>
        <v/>
      </c>
      <c r="Q88" s="96" t="str">
        <f aca="false">IF(B88="","",COUNTIF('Geral - Soluções'!$E$5:$E$500,A88&amp;"*")+COUNTIF('Mentoring - Soluções'!$E$5:$E$500,A88&amp;"*")+COUNTIF('Feira - Soluções'!$E$5:$E$500,A88&amp;"*")+COUNTIF('Inova - Soluções'!$E$5:$E$500,A88&amp;"*")+COUNTIF('Sensibilizando - Soluções'!$E$5:$E$500,A88&amp;"*"))</f>
        <v/>
      </c>
      <c r="R88" s="102"/>
      <c r="S88" s="100" t="str">
        <f aca="false">IF(B88="","",A88&amp;" · "&amp;B88)</f>
        <v/>
      </c>
    </row>
    <row r="89" customFormat="false" ht="15" hidden="false" customHeight="false" outlineLevel="0" collapsed="false">
      <c r="A89" s="93" t="s">
        <v>232</v>
      </c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6"/>
      <c r="M89" s="96" t="str">
        <f aca="false">IF(B89="","",COUNTIF(Conversas!$B$5:$B$500,A89&amp;"*"))</f>
        <v/>
      </c>
      <c r="N89" s="97" t="str">
        <f aca="false">IF(B89="","",IF(M89=0,"",_xlfn.MAXIFS(Conversas!$C$5:$C$500,Conversas!$B$5:$B$500,A89&amp;"*")))</f>
        <v/>
      </c>
      <c r="O89" s="107"/>
      <c r="P89" s="99" t="str">
        <f aca="true">IF(B89="","",IF(O89="","Sem data",IF(O89&lt;TODAY(),"⚠ Atrasado",IF(O89-TODAY()&lt;=7,"Esta semana","Agendado"))))</f>
        <v/>
      </c>
      <c r="Q89" s="96" t="str">
        <f aca="false">IF(B89="","",COUNTIF('Geral - Soluções'!$E$5:$E$500,A89&amp;"*")+COUNTIF('Mentoring - Soluções'!$E$5:$E$500,A89&amp;"*")+COUNTIF('Feira - Soluções'!$E$5:$E$500,A89&amp;"*")+COUNTIF('Inova - Soluções'!$E$5:$E$500,A89&amp;"*")+COUNTIF('Sensibilizando - Soluções'!$E$5:$E$500,A89&amp;"*"))</f>
        <v/>
      </c>
      <c r="R89" s="105"/>
      <c r="S89" s="100" t="str">
        <f aca="false">IF(B89="","",A89&amp;" · "&amp;B89)</f>
        <v/>
      </c>
    </row>
    <row r="90" customFormat="false" ht="15" hidden="false" customHeight="false" outlineLevel="0" collapsed="false">
      <c r="A90" s="101" t="s">
        <v>233</v>
      </c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3"/>
      <c r="M90" s="96" t="str">
        <f aca="false">IF(B90="","",COUNTIF(Conversas!$B$5:$B$500,A90&amp;"*"))</f>
        <v/>
      </c>
      <c r="N90" s="97" t="str">
        <f aca="false">IF(B90="","",IF(M90=0,"",_xlfn.MAXIFS(Conversas!$C$5:$C$500,Conversas!$B$5:$B$500,A90&amp;"*")))</f>
        <v/>
      </c>
      <c r="O90" s="104"/>
      <c r="P90" s="99" t="str">
        <f aca="true">IF(B90="","",IF(O90="","Sem data",IF(O90&lt;TODAY(),"⚠ Atrasado",IF(O90-TODAY()&lt;=7,"Esta semana","Agendado"))))</f>
        <v/>
      </c>
      <c r="Q90" s="96" t="str">
        <f aca="false">IF(B90="","",COUNTIF('Geral - Soluções'!$E$5:$E$500,A90&amp;"*")+COUNTIF('Mentoring - Soluções'!$E$5:$E$500,A90&amp;"*")+COUNTIF('Feira - Soluções'!$E$5:$E$500,A90&amp;"*")+COUNTIF('Inova - Soluções'!$E$5:$E$500,A90&amp;"*")+COUNTIF('Sensibilizando - Soluções'!$E$5:$E$500,A90&amp;"*"))</f>
        <v/>
      </c>
      <c r="R90" s="102"/>
      <c r="S90" s="100" t="str">
        <f aca="false">IF(B90="","",A90&amp;" · "&amp;B90)</f>
        <v/>
      </c>
    </row>
    <row r="91" customFormat="false" ht="15" hidden="false" customHeight="false" outlineLevel="0" collapsed="false">
      <c r="A91" s="93" t="s">
        <v>234</v>
      </c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6"/>
      <c r="M91" s="96" t="str">
        <f aca="false">IF(B91="","",COUNTIF(Conversas!$B$5:$B$500,A91&amp;"*"))</f>
        <v/>
      </c>
      <c r="N91" s="97" t="str">
        <f aca="false">IF(B91="","",IF(M91=0,"",_xlfn.MAXIFS(Conversas!$C$5:$C$500,Conversas!$B$5:$B$500,A91&amp;"*")))</f>
        <v/>
      </c>
      <c r="O91" s="107"/>
      <c r="P91" s="99" t="str">
        <f aca="true">IF(B91="","",IF(O91="","Sem data",IF(O91&lt;TODAY(),"⚠ Atrasado",IF(O91-TODAY()&lt;=7,"Esta semana","Agendado"))))</f>
        <v/>
      </c>
      <c r="Q91" s="96" t="str">
        <f aca="false">IF(B91="","",COUNTIF('Geral - Soluções'!$E$5:$E$500,A91&amp;"*")+COUNTIF('Mentoring - Soluções'!$E$5:$E$500,A91&amp;"*")+COUNTIF('Feira - Soluções'!$E$5:$E$500,A91&amp;"*")+COUNTIF('Inova - Soluções'!$E$5:$E$500,A91&amp;"*")+COUNTIF('Sensibilizando - Soluções'!$E$5:$E$500,A91&amp;"*"))</f>
        <v/>
      </c>
      <c r="R91" s="105"/>
      <c r="S91" s="100" t="str">
        <f aca="false">IF(B91="","",A91&amp;" · "&amp;B91)</f>
        <v/>
      </c>
    </row>
    <row r="92" customFormat="false" ht="15" hidden="false" customHeight="false" outlineLevel="0" collapsed="false">
      <c r="A92" s="101" t="s">
        <v>235</v>
      </c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3"/>
      <c r="M92" s="96" t="str">
        <f aca="false">IF(B92="","",COUNTIF(Conversas!$B$5:$B$500,A92&amp;"*"))</f>
        <v/>
      </c>
      <c r="N92" s="97" t="str">
        <f aca="false">IF(B92="","",IF(M92=0,"",_xlfn.MAXIFS(Conversas!$C$5:$C$500,Conversas!$B$5:$B$500,A92&amp;"*")))</f>
        <v/>
      </c>
      <c r="O92" s="104"/>
      <c r="P92" s="99" t="str">
        <f aca="true">IF(B92="","",IF(O92="","Sem data",IF(O92&lt;TODAY(),"⚠ Atrasado",IF(O92-TODAY()&lt;=7,"Esta semana","Agendado"))))</f>
        <v/>
      </c>
      <c r="Q92" s="96" t="str">
        <f aca="false">IF(B92="","",COUNTIF('Geral - Soluções'!$E$5:$E$500,A92&amp;"*")+COUNTIF('Mentoring - Soluções'!$E$5:$E$500,A92&amp;"*")+COUNTIF('Feira - Soluções'!$E$5:$E$500,A92&amp;"*")+COUNTIF('Inova - Soluções'!$E$5:$E$500,A92&amp;"*")+COUNTIF('Sensibilizando - Soluções'!$E$5:$E$500,A92&amp;"*"))</f>
        <v/>
      </c>
      <c r="R92" s="102"/>
      <c r="S92" s="100" t="str">
        <f aca="false">IF(B92="","",A92&amp;" · "&amp;B92)</f>
        <v/>
      </c>
    </row>
    <row r="93" customFormat="false" ht="15" hidden="false" customHeight="false" outlineLevel="0" collapsed="false">
      <c r="A93" s="93" t="s">
        <v>236</v>
      </c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6"/>
      <c r="M93" s="96" t="str">
        <f aca="false">IF(B93="","",COUNTIF(Conversas!$B$5:$B$500,A93&amp;"*"))</f>
        <v/>
      </c>
      <c r="N93" s="97" t="str">
        <f aca="false">IF(B93="","",IF(M93=0,"",_xlfn.MAXIFS(Conversas!$C$5:$C$500,Conversas!$B$5:$B$500,A93&amp;"*")))</f>
        <v/>
      </c>
      <c r="O93" s="107"/>
      <c r="P93" s="99" t="str">
        <f aca="true">IF(B93="","",IF(O93="","Sem data",IF(O93&lt;TODAY(),"⚠ Atrasado",IF(O93-TODAY()&lt;=7,"Esta semana","Agendado"))))</f>
        <v/>
      </c>
      <c r="Q93" s="96" t="str">
        <f aca="false">IF(B93="","",COUNTIF('Geral - Soluções'!$E$5:$E$500,A93&amp;"*")+COUNTIF('Mentoring - Soluções'!$E$5:$E$500,A93&amp;"*")+COUNTIF('Feira - Soluções'!$E$5:$E$500,A93&amp;"*")+COUNTIF('Inova - Soluções'!$E$5:$E$500,A93&amp;"*")+COUNTIF('Sensibilizando - Soluções'!$E$5:$E$500,A93&amp;"*"))</f>
        <v/>
      </c>
      <c r="R93" s="105"/>
      <c r="S93" s="100" t="str">
        <f aca="false">IF(B93="","",A93&amp;" · "&amp;B93)</f>
        <v/>
      </c>
    </row>
    <row r="94" customFormat="false" ht="15" hidden="false" customHeight="false" outlineLevel="0" collapsed="false">
      <c r="A94" s="101" t="s">
        <v>237</v>
      </c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3"/>
      <c r="M94" s="96" t="str">
        <f aca="false">IF(B94="","",COUNTIF(Conversas!$B$5:$B$500,A94&amp;"*"))</f>
        <v/>
      </c>
      <c r="N94" s="97" t="str">
        <f aca="false">IF(B94="","",IF(M94=0,"",_xlfn.MAXIFS(Conversas!$C$5:$C$500,Conversas!$B$5:$B$500,A94&amp;"*")))</f>
        <v/>
      </c>
      <c r="O94" s="104"/>
      <c r="P94" s="99" t="str">
        <f aca="true">IF(B94="","",IF(O94="","Sem data",IF(O94&lt;TODAY(),"⚠ Atrasado",IF(O94-TODAY()&lt;=7,"Esta semana","Agendado"))))</f>
        <v/>
      </c>
      <c r="Q94" s="96" t="str">
        <f aca="false">IF(B94="","",COUNTIF('Geral - Soluções'!$E$5:$E$500,A94&amp;"*")+COUNTIF('Mentoring - Soluções'!$E$5:$E$500,A94&amp;"*")+COUNTIF('Feira - Soluções'!$E$5:$E$500,A94&amp;"*")+COUNTIF('Inova - Soluções'!$E$5:$E$500,A94&amp;"*")+COUNTIF('Sensibilizando - Soluções'!$E$5:$E$500,A94&amp;"*"))</f>
        <v/>
      </c>
      <c r="R94" s="102"/>
      <c r="S94" s="100" t="str">
        <f aca="false">IF(B94="","",A94&amp;" · "&amp;B94)</f>
        <v/>
      </c>
    </row>
    <row r="95" customFormat="false" ht="15" hidden="false" customHeight="false" outlineLevel="0" collapsed="false">
      <c r="A95" s="93" t="s">
        <v>238</v>
      </c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6"/>
      <c r="M95" s="96" t="str">
        <f aca="false">IF(B95="","",COUNTIF(Conversas!$B$5:$B$500,A95&amp;"*"))</f>
        <v/>
      </c>
      <c r="N95" s="97" t="str">
        <f aca="false">IF(B95="","",IF(M95=0,"",_xlfn.MAXIFS(Conversas!$C$5:$C$500,Conversas!$B$5:$B$500,A95&amp;"*")))</f>
        <v/>
      </c>
      <c r="O95" s="107"/>
      <c r="P95" s="99" t="str">
        <f aca="true">IF(B95="","",IF(O95="","Sem data",IF(O95&lt;TODAY(),"⚠ Atrasado",IF(O95-TODAY()&lt;=7,"Esta semana","Agendado"))))</f>
        <v/>
      </c>
      <c r="Q95" s="96" t="str">
        <f aca="false">IF(B95="","",COUNTIF('Geral - Soluções'!$E$5:$E$500,A95&amp;"*")+COUNTIF('Mentoring - Soluções'!$E$5:$E$500,A95&amp;"*")+COUNTIF('Feira - Soluções'!$E$5:$E$500,A95&amp;"*")+COUNTIF('Inova - Soluções'!$E$5:$E$500,A95&amp;"*")+COUNTIF('Sensibilizando - Soluções'!$E$5:$E$500,A95&amp;"*"))</f>
        <v/>
      </c>
      <c r="R95" s="105"/>
      <c r="S95" s="100" t="str">
        <f aca="false">IF(B95="","",A95&amp;" · "&amp;B95)</f>
        <v/>
      </c>
    </row>
    <row r="96" customFormat="false" ht="15" hidden="false" customHeight="false" outlineLevel="0" collapsed="false">
      <c r="A96" s="101" t="s">
        <v>239</v>
      </c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3"/>
      <c r="M96" s="96" t="str">
        <f aca="false">IF(B96="","",COUNTIF(Conversas!$B$5:$B$500,A96&amp;"*"))</f>
        <v/>
      </c>
      <c r="N96" s="97" t="str">
        <f aca="false">IF(B96="","",IF(M96=0,"",_xlfn.MAXIFS(Conversas!$C$5:$C$500,Conversas!$B$5:$B$500,A96&amp;"*")))</f>
        <v/>
      </c>
      <c r="O96" s="104"/>
      <c r="P96" s="99" t="str">
        <f aca="true">IF(B96="","",IF(O96="","Sem data",IF(O96&lt;TODAY(),"⚠ Atrasado",IF(O96-TODAY()&lt;=7,"Esta semana","Agendado"))))</f>
        <v/>
      </c>
      <c r="Q96" s="96" t="str">
        <f aca="false">IF(B96="","",COUNTIF('Geral - Soluções'!$E$5:$E$500,A96&amp;"*")+COUNTIF('Mentoring - Soluções'!$E$5:$E$500,A96&amp;"*")+COUNTIF('Feira - Soluções'!$E$5:$E$500,A96&amp;"*")+COUNTIF('Inova - Soluções'!$E$5:$E$500,A96&amp;"*")+COUNTIF('Sensibilizando - Soluções'!$E$5:$E$500,A96&amp;"*"))</f>
        <v/>
      </c>
      <c r="R96" s="102"/>
      <c r="S96" s="100" t="str">
        <f aca="false">IF(B96="","",A96&amp;" · "&amp;B96)</f>
        <v/>
      </c>
    </row>
    <row r="97" customFormat="false" ht="15" hidden="false" customHeight="false" outlineLevel="0" collapsed="false">
      <c r="A97" s="93" t="s">
        <v>240</v>
      </c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6"/>
      <c r="M97" s="96" t="str">
        <f aca="false">IF(B97="","",COUNTIF(Conversas!$B$5:$B$500,A97&amp;"*"))</f>
        <v/>
      </c>
      <c r="N97" s="97" t="str">
        <f aca="false">IF(B97="","",IF(M97=0,"",_xlfn.MAXIFS(Conversas!$C$5:$C$500,Conversas!$B$5:$B$500,A97&amp;"*")))</f>
        <v/>
      </c>
      <c r="O97" s="107"/>
      <c r="P97" s="99" t="str">
        <f aca="true">IF(B97="","",IF(O97="","Sem data",IF(O97&lt;TODAY(),"⚠ Atrasado",IF(O97-TODAY()&lt;=7,"Esta semana","Agendado"))))</f>
        <v/>
      </c>
      <c r="Q97" s="96" t="str">
        <f aca="false">IF(B97="","",COUNTIF('Geral - Soluções'!$E$5:$E$500,A97&amp;"*")+COUNTIF('Mentoring - Soluções'!$E$5:$E$500,A97&amp;"*")+COUNTIF('Feira - Soluções'!$E$5:$E$500,A97&amp;"*")+COUNTIF('Inova - Soluções'!$E$5:$E$500,A97&amp;"*")+COUNTIF('Sensibilizando - Soluções'!$E$5:$E$500,A97&amp;"*"))</f>
        <v/>
      </c>
      <c r="R97" s="105"/>
      <c r="S97" s="100" t="str">
        <f aca="false">IF(B97="","",A97&amp;" · "&amp;B97)</f>
        <v/>
      </c>
    </row>
    <row r="98" customFormat="false" ht="15" hidden="false" customHeight="false" outlineLevel="0" collapsed="false">
      <c r="A98" s="101" t="s">
        <v>241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3"/>
      <c r="M98" s="96" t="str">
        <f aca="false">IF(B98="","",COUNTIF(Conversas!$B$5:$B$500,A98&amp;"*"))</f>
        <v/>
      </c>
      <c r="N98" s="97" t="str">
        <f aca="false">IF(B98="","",IF(M98=0,"",_xlfn.MAXIFS(Conversas!$C$5:$C$500,Conversas!$B$5:$B$500,A98&amp;"*")))</f>
        <v/>
      </c>
      <c r="O98" s="104"/>
      <c r="P98" s="99" t="str">
        <f aca="true">IF(B98="","",IF(O98="","Sem data",IF(O98&lt;TODAY(),"⚠ Atrasado",IF(O98-TODAY()&lt;=7,"Esta semana","Agendado"))))</f>
        <v/>
      </c>
      <c r="Q98" s="96" t="str">
        <f aca="false">IF(B98="","",COUNTIF('Geral - Soluções'!$E$5:$E$500,A98&amp;"*")+COUNTIF('Mentoring - Soluções'!$E$5:$E$500,A98&amp;"*")+COUNTIF('Feira - Soluções'!$E$5:$E$500,A98&amp;"*")+COUNTIF('Inova - Soluções'!$E$5:$E$500,A98&amp;"*")+COUNTIF('Sensibilizando - Soluções'!$E$5:$E$500,A98&amp;"*"))</f>
        <v/>
      </c>
      <c r="R98" s="102"/>
      <c r="S98" s="100" t="str">
        <f aca="false">IF(B98="","",A98&amp;" · "&amp;B98)</f>
        <v/>
      </c>
    </row>
    <row r="99" customFormat="false" ht="15" hidden="false" customHeight="false" outlineLevel="0" collapsed="false">
      <c r="A99" s="93" t="s">
        <v>242</v>
      </c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6"/>
      <c r="M99" s="96" t="str">
        <f aca="false">IF(B99="","",COUNTIF(Conversas!$B$5:$B$500,A99&amp;"*"))</f>
        <v/>
      </c>
      <c r="N99" s="97" t="str">
        <f aca="false">IF(B99="","",IF(M99=0,"",_xlfn.MAXIFS(Conversas!$C$5:$C$500,Conversas!$B$5:$B$500,A99&amp;"*")))</f>
        <v/>
      </c>
      <c r="O99" s="107"/>
      <c r="P99" s="99" t="str">
        <f aca="true">IF(B99="","",IF(O99="","Sem data",IF(O99&lt;TODAY(),"⚠ Atrasado",IF(O99-TODAY()&lt;=7,"Esta semana","Agendado"))))</f>
        <v/>
      </c>
      <c r="Q99" s="96" t="str">
        <f aca="false">IF(B99="","",COUNTIF('Geral - Soluções'!$E$5:$E$500,A99&amp;"*")+COUNTIF('Mentoring - Soluções'!$E$5:$E$500,A99&amp;"*")+COUNTIF('Feira - Soluções'!$E$5:$E$500,A99&amp;"*")+COUNTIF('Inova - Soluções'!$E$5:$E$500,A99&amp;"*")+COUNTIF('Sensibilizando - Soluções'!$E$5:$E$500,A99&amp;"*"))</f>
        <v/>
      </c>
      <c r="R99" s="105"/>
      <c r="S99" s="100" t="str">
        <f aca="false">IF(B99="","",A99&amp;" · "&amp;B99)</f>
        <v/>
      </c>
    </row>
    <row r="100" customFormat="false" ht="15" hidden="false" customHeight="false" outlineLevel="0" collapsed="false">
      <c r="A100" s="101" t="s">
        <v>243</v>
      </c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3"/>
      <c r="M100" s="96" t="str">
        <f aca="false">IF(B100="","",COUNTIF(Conversas!$B$5:$B$500,A100&amp;"*"))</f>
        <v/>
      </c>
      <c r="N100" s="97" t="str">
        <f aca="false">IF(B100="","",IF(M100=0,"",_xlfn.MAXIFS(Conversas!$C$5:$C$500,Conversas!$B$5:$B$500,A100&amp;"*")))</f>
        <v/>
      </c>
      <c r="O100" s="104"/>
      <c r="P100" s="99" t="str">
        <f aca="true">IF(B100="","",IF(O100="","Sem data",IF(O100&lt;TODAY(),"⚠ Atrasado",IF(O100-TODAY()&lt;=7,"Esta semana","Agendado"))))</f>
        <v/>
      </c>
      <c r="Q100" s="96" t="str">
        <f aca="false">IF(B100="","",COUNTIF('Geral - Soluções'!$E$5:$E$500,A100&amp;"*")+COUNTIF('Mentoring - Soluções'!$E$5:$E$500,A100&amp;"*")+COUNTIF('Feira - Soluções'!$E$5:$E$500,A100&amp;"*")+COUNTIF('Inova - Soluções'!$E$5:$E$500,A100&amp;"*")+COUNTIF('Sensibilizando - Soluções'!$E$5:$E$500,A100&amp;"*"))</f>
        <v/>
      </c>
      <c r="R100" s="102"/>
      <c r="S100" s="100" t="str">
        <f aca="false">IF(B100="","",A100&amp;" · "&amp;B100)</f>
        <v/>
      </c>
    </row>
    <row r="101" customFormat="false" ht="15" hidden="false" customHeight="false" outlineLevel="0" collapsed="false">
      <c r="A101" s="93" t="s">
        <v>244</v>
      </c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6"/>
      <c r="M101" s="96" t="str">
        <f aca="false">IF(B101="","",COUNTIF(Conversas!$B$5:$B$500,A101&amp;"*"))</f>
        <v/>
      </c>
      <c r="N101" s="97" t="str">
        <f aca="false">IF(B101="","",IF(M101=0,"",_xlfn.MAXIFS(Conversas!$C$5:$C$500,Conversas!$B$5:$B$500,A101&amp;"*")))</f>
        <v/>
      </c>
      <c r="O101" s="107"/>
      <c r="P101" s="99" t="str">
        <f aca="true">IF(B101="","",IF(O101="","Sem data",IF(O101&lt;TODAY(),"⚠ Atrasado",IF(O101-TODAY()&lt;=7,"Esta semana","Agendado"))))</f>
        <v/>
      </c>
      <c r="Q101" s="96" t="str">
        <f aca="false">IF(B101="","",COUNTIF('Geral - Soluções'!$E$5:$E$500,A101&amp;"*")+COUNTIF('Mentoring - Soluções'!$E$5:$E$500,A101&amp;"*")+COUNTIF('Feira - Soluções'!$E$5:$E$500,A101&amp;"*")+COUNTIF('Inova - Soluções'!$E$5:$E$500,A101&amp;"*")+COUNTIF('Sensibilizando - Soluções'!$E$5:$E$500,A101&amp;"*"))</f>
        <v/>
      </c>
      <c r="R101" s="105"/>
      <c r="S101" s="100" t="str">
        <f aca="false">IF(B101="","",A101&amp;" · "&amp;B101)</f>
        <v/>
      </c>
    </row>
    <row r="102" customFormat="false" ht="15" hidden="false" customHeight="false" outlineLevel="0" collapsed="false">
      <c r="A102" s="101" t="s">
        <v>245</v>
      </c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3"/>
      <c r="M102" s="96" t="str">
        <f aca="false">IF(B102="","",COUNTIF(Conversas!$B$5:$B$500,A102&amp;"*"))</f>
        <v/>
      </c>
      <c r="N102" s="97" t="str">
        <f aca="false">IF(B102="","",IF(M102=0,"",_xlfn.MAXIFS(Conversas!$C$5:$C$500,Conversas!$B$5:$B$500,A102&amp;"*")))</f>
        <v/>
      </c>
      <c r="O102" s="104"/>
      <c r="P102" s="99" t="str">
        <f aca="true">IF(B102="","",IF(O102="","Sem data",IF(O102&lt;TODAY(),"⚠ Atrasado",IF(O102-TODAY()&lt;=7,"Esta semana","Agendado"))))</f>
        <v/>
      </c>
      <c r="Q102" s="96" t="str">
        <f aca="false">IF(B102="","",COUNTIF('Geral - Soluções'!$E$5:$E$500,A102&amp;"*")+COUNTIF('Mentoring - Soluções'!$E$5:$E$500,A102&amp;"*")+COUNTIF('Feira - Soluções'!$E$5:$E$500,A102&amp;"*")+COUNTIF('Inova - Soluções'!$E$5:$E$500,A102&amp;"*")+COUNTIF('Sensibilizando - Soluções'!$E$5:$E$500,A102&amp;"*"))</f>
        <v/>
      </c>
      <c r="R102" s="102"/>
      <c r="S102" s="100" t="str">
        <f aca="false">IF(B102="","",A102&amp;" · "&amp;B102)</f>
        <v/>
      </c>
    </row>
    <row r="103" customFormat="false" ht="15" hidden="false" customHeight="false" outlineLevel="0" collapsed="false">
      <c r="A103" s="93" t="s">
        <v>246</v>
      </c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6"/>
      <c r="M103" s="96" t="str">
        <f aca="false">IF(B103="","",COUNTIF(Conversas!$B$5:$B$500,A103&amp;"*"))</f>
        <v/>
      </c>
      <c r="N103" s="97" t="str">
        <f aca="false">IF(B103="","",IF(M103=0,"",_xlfn.MAXIFS(Conversas!$C$5:$C$500,Conversas!$B$5:$B$500,A103&amp;"*")))</f>
        <v/>
      </c>
      <c r="O103" s="107"/>
      <c r="P103" s="99" t="str">
        <f aca="true">IF(B103="","",IF(O103="","Sem data",IF(O103&lt;TODAY(),"⚠ Atrasado",IF(O103-TODAY()&lt;=7,"Esta semana","Agendado"))))</f>
        <v/>
      </c>
      <c r="Q103" s="96" t="str">
        <f aca="false">IF(B103="","",COUNTIF('Geral - Soluções'!$E$5:$E$500,A103&amp;"*")+COUNTIF('Mentoring - Soluções'!$E$5:$E$500,A103&amp;"*")+COUNTIF('Feira - Soluções'!$E$5:$E$500,A103&amp;"*")+COUNTIF('Inova - Soluções'!$E$5:$E$500,A103&amp;"*")+COUNTIF('Sensibilizando - Soluções'!$E$5:$E$500,A103&amp;"*"))</f>
        <v/>
      </c>
      <c r="R103" s="105"/>
      <c r="S103" s="100" t="str">
        <f aca="false">IF(B103="","",A103&amp;" · "&amp;B103)</f>
        <v/>
      </c>
    </row>
    <row r="104" customFormat="false" ht="15" hidden="false" customHeight="false" outlineLevel="0" collapsed="false">
      <c r="A104" s="101" t="s">
        <v>247</v>
      </c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3"/>
      <c r="M104" s="96" t="str">
        <f aca="false">IF(B104="","",COUNTIF(Conversas!$B$5:$B$500,A104&amp;"*"))</f>
        <v/>
      </c>
      <c r="N104" s="97" t="str">
        <f aca="false">IF(B104="","",IF(M104=0,"",_xlfn.MAXIFS(Conversas!$C$5:$C$500,Conversas!$B$5:$B$500,A104&amp;"*")))</f>
        <v/>
      </c>
      <c r="O104" s="104"/>
      <c r="P104" s="99" t="str">
        <f aca="true">IF(B104="","",IF(O104="","Sem data",IF(O104&lt;TODAY(),"⚠ Atrasado",IF(O104-TODAY()&lt;=7,"Esta semana","Agendado"))))</f>
        <v/>
      </c>
      <c r="Q104" s="96" t="str">
        <f aca="false">IF(B104="","",COUNTIF('Geral - Soluções'!$E$5:$E$500,A104&amp;"*")+COUNTIF('Mentoring - Soluções'!$E$5:$E$500,A104&amp;"*")+COUNTIF('Feira - Soluções'!$E$5:$E$500,A104&amp;"*")+COUNTIF('Inova - Soluções'!$E$5:$E$500,A104&amp;"*")+COUNTIF('Sensibilizando - Soluções'!$E$5:$E$500,A104&amp;"*"))</f>
        <v/>
      </c>
      <c r="R104" s="102"/>
      <c r="S104" s="100" t="str">
        <f aca="false">IF(B104="","",A104&amp;" · "&amp;B104)</f>
        <v/>
      </c>
    </row>
    <row r="105" customFormat="false" ht="15" hidden="false" customHeight="false" outlineLevel="0" collapsed="false">
      <c r="A105" s="93" t="s">
        <v>248</v>
      </c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6"/>
      <c r="M105" s="96" t="str">
        <f aca="false">IF(B105="","",COUNTIF(Conversas!$B$5:$B$500,A105&amp;"*"))</f>
        <v/>
      </c>
      <c r="N105" s="97" t="str">
        <f aca="false">IF(B105="","",IF(M105=0,"",_xlfn.MAXIFS(Conversas!$C$5:$C$500,Conversas!$B$5:$B$500,A105&amp;"*")))</f>
        <v/>
      </c>
      <c r="O105" s="107"/>
      <c r="P105" s="99" t="str">
        <f aca="true">IF(B105="","",IF(O105="","Sem data",IF(O105&lt;TODAY(),"⚠ Atrasado",IF(O105-TODAY()&lt;=7,"Esta semana","Agendado"))))</f>
        <v/>
      </c>
      <c r="Q105" s="96" t="str">
        <f aca="false">IF(B105="","",COUNTIF('Geral - Soluções'!$E$5:$E$500,A105&amp;"*")+COUNTIF('Mentoring - Soluções'!$E$5:$E$500,A105&amp;"*")+COUNTIF('Feira - Soluções'!$E$5:$E$500,A105&amp;"*")+COUNTIF('Inova - Soluções'!$E$5:$E$500,A105&amp;"*")+COUNTIF('Sensibilizando - Soluções'!$E$5:$E$500,A105&amp;"*"))</f>
        <v/>
      </c>
      <c r="R105" s="105"/>
      <c r="S105" s="100" t="str">
        <f aca="false">IF(B105="","",A105&amp;" · "&amp;B105)</f>
        <v/>
      </c>
    </row>
    <row r="106" customFormat="false" ht="15" hidden="false" customHeight="false" outlineLevel="0" collapsed="false">
      <c r="A106" s="101" t="s">
        <v>249</v>
      </c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3"/>
      <c r="M106" s="96" t="str">
        <f aca="false">IF(B106="","",COUNTIF(Conversas!$B$5:$B$500,A106&amp;"*"))</f>
        <v/>
      </c>
      <c r="N106" s="97" t="str">
        <f aca="false">IF(B106="","",IF(M106=0,"",_xlfn.MAXIFS(Conversas!$C$5:$C$500,Conversas!$B$5:$B$500,A106&amp;"*")))</f>
        <v/>
      </c>
      <c r="O106" s="104"/>
      <c r="P106" s="99" t="str">
        <f aca="true">IF(B106="","",IF(O106="","Sem data",IF(O106&lt;TODAY(),"⚠ Atrasado",IF(O106-TODAY()&lt;=7,"Esta semana","Agendado"))))</f>
        <v/>
      </c>
      <c r="Q106" s="96" t="str">
        <f aca="false">IF(B106="","",COUNTIF('Geral - Soluções'!$E$5:$E$500,A106&amp;"*")+COUNTIF('Mentoring - Soluções'!$E$5:$E$500,A106&amp;"*")+COUNTIF('Feira - Soluções'!$E$5:$E$500,A106&amp;"*")+COUNTIF('Inova - Soluções'!$E$5:$E$500,A106&amp;"*")+COUNTIF('Sensibilizando - Soluções'!$E$5:$E$500,A106&amp;"*"))</f>
        <v/>
      </c>
      <c r="R106" s="102"/>
      <c r="S106" s="100" t="str">
        <f aca="false">IF(B106="","",A106&amp;" · "&amp;B106)</f>
        <v/>
      </c>
    </row>
    <row r="107" customFormat="false" ht="15" hidden="false" customHeight="false" outlineLevel="0" collapsed="false">
      <c r="A107" s="93" t="s">
        <v>250</v>
      </c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6"/>
      <c r="M107" s="96" t="str">
        <f aca="false">IF(B107="","",COUNTIF(Conversas!$B$5:$B$500,A107&amp;"*"))</f>
        <v/>
      </c>
      <c r="N107" s="97" t="str">
        <f aca="false">IF(B107="","",IF(M107=0,"",_xlfn.MAXIFS(Conversas!$C$5:$C$500,Conversas!$B$5:$B$500,A107&amp;"*")))</f>
        <v/>
      </c>
      <c r="O107" s="107"/>
      <c r="P107" s="99" t="str">
        <f aca="true">IF(B107="","",IF(O107="","Sem data",IF(O107&lt;TODAY(),"⚠ Atrasado",IF(O107-TODAY()&lt;=7,"Esta semana","Agendado"))))</f>
        <v/>
      </c>
      <c r="Q107" s="96" t="str">
        <f aca="false">IF(B107="","",COUNTIF('Geral - Soluções'!$E$5:$E$500,A107&amp;"*")+COUNTIF('Mentoring - Soluções'!$E$5:$E$500,A107&amp;"*")+COUNTIF('Feira - Soluções'!$E$5:$E$500,A107&amp;"*")+COUNTIF('Inova - Soluções'!$E$5:$E$500,A107&amp;"*")+COUNTIF('Sensibilizando - Soluções'!$E$5:$E$500,A107&amp;"*"))</f>
        <v/>
      </c>
      <c r="R107" s="105"/>
      <c r="S107" s="100" t="str">
        <f aca="false">IF(B107="","",A107&amp;" · "&amp;B107)</f>
        <v/>
      </c>
    </row>
    <row r="108" customFormat="false" ht="15" hidden="false" customHeight="false" outlineLevel="0" collapsed="false">
      <c r="A108" s="101" t="s">
        <v>251</v>
      </c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3"/>
      <c r="M108" s="96" t="str">
        <f aca="false">IF(B108="","",COUNTIF(Conversas!$B$5:$B$500,A108&amp;"*"))</f>
        <v/>
      </c>
      <c r="N108" s="97" t="str">
        <f aca="false">IF(B108="","",IF(M108=0,"",_xlfn.MAXIFS(Conversas!$C$5:$C$500,Conversas!$B$5:$B$500,A108&amp;"*")))</f>
        <v/>
      </c>
      <c r="O108" s="104"/>
      <c r="P108" s="99" t="str">
        <f aca="true">IF(B108="","",IF(O108="","Sem data",IF(O108&lt;TODAY(),"⚠ Atrasado",IF(O108-TODAY()&lt;=7,"Esta semana","Agendado"))))</f>
        <v/>
      </c>
      <c r="Q108" s="96" t="str">
        <f aca="false">IF(B108="","",COUNTIF('Geral - Soluções'!$E$5:$E$500,A108&amp;"*")+COUNTIF('Mentoring - Soluções'!$E$5:$E$500,A108&amp;"*")+COUNTIF('Feira - Soluções'!$E$5:$E$500,A108&amp;"*")+COUNTIF('Inova - Soluções'!$E$5:$E$500,A108&amp;"*")+COUNTIF('Sensibilizando - Soluções'!$E$5:$E$500,A108&amp;"*"))</f>
        <v/>
      </c>
      <c r="R108" s="102"/>
      <c r="S108" s="100" t="str">
        <f aca="false">IF(B108="","",A108&amp;" · "&amp;B108)</f>
        <v/>
      </c>
    </row>
    <row r="109" customFormat="false" ht="15" hidden="false" customHeight="false" outlineLevel="0" collapsed="false">
      <c r="A109" s="93" t="s">
        <v>252</v>
      </c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6"/>
      <c r="M109" s="96" t="str">
        <f aca="false">IF(B109="","",COUNTIF(Conversas!$B$5:$B$500,A109&amp;"*"))</f>
        <v/>
      </c>
      <c r="N109" s="97" t="str">
        <f aca="false">IF(B109="","",IF(M109=0,"",_xlfn.MAXIFS(Conversas!$C$5:$C$500,Conversas!$B$5:$B$500,A109&amp;"*")))</f>
        <v/>
      </c>
      <c r="O109" s="107"/>
      <c r="P109" s="99" t="str">
        <f aca="true">IF(B109="","",IF(O109="","Sem data",IF(O109&lt;TODAY(),"⚠ Atrasado",IF(O109-TODAY()&lt;=7,"Esta semana","Agendado"))))</f>
        <v/>
      </c>
      <c r="Q109" s="96" t="str">
        <f aca="false">IF(B109="","",COUNTIF('Geral - Soluções'!$E$5:$E$500,A109&amp;"*")+COUNTIF('Mentoring - Soluções'!$E$5:$E$500,A109&amp;"*")+COUNTIF('Feira - Soluções'!$E$5:$E$500,A109&amp;"*")+COUNTIF('Inova - Soluções'!$E$5:$E$500,A109&amp;"*")+COUNTIF('Sensibilizando - Soluções'!$E$5:$E$500,A109&amp;"*"))</f>
        <v/>
      </c>
      <c r="R109" s="105"/>
      <c r="S109" s="100" t="str">
        <f aca="false">IF(B109="","",A109&amp;" · "&amp;B109)</f>
        <v/>
      </c>
    </row>
    <row r="110" customFormat="false" ht="15" hidden="false" customHeight="false" outlineLevel="0" collapsed="false">
      <c r="A110" s="101" t="s">
        <v>253</v>
      </c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3"/>
      <c r="M110" s="96" t="str">
        <f aca="false">IF(B110="","",COUNTIF(Conversas!$B$5:$B$500,A110&amp;"*"))</f>
        <v/>
      </c>
      <c r="N110" s="97" t="str">
        <f aca="false">IF(B110="","",IF(M110=0,"",_xlfn.MAXIFS(Conversas!$C$5:$C$500,Conversas!$B$5:$B$500,A110&amp;"*")))</f>
        <v/>
      </c>
      <c r="O110" s="104"/>
      <c r="P110" s="99" t="str">
        <f aca="true">IF(B110="","",IF(O110="","Sem data",IF(O110&lt;TODAY(),"⚠ Atrasado",IF(O110-TODAY()&lt;=7,"Esta semana","Agendado"))))</f>
        <v/>
      </c>
      <c r="Q110" s="96" t="str">
        <f aca="false">IF(B110="","",COUNTIF('Geral - Soluções'!$E$5:$E$500,A110&amp;"*")+COUNTIF('Mentoring - Soluções'!$E$5:$E$500,A110&amp;"*")+COUNTIF('Feira - Soluções'!$E$5:$E$500,A110&amp;"*")+COUNTIF('Inova - Soluções'!$E$5:$E$500,A110&amp;"*")+COUNTIF('Sensibilizando - Soluções'!$E$5:$E$500,A110&amp;"*"))</f>
        <v/>
      </c>
      <c r="R110" s="102"/>
      <c r="S110" s="100" t="str">
        <f aca="false">IF(B110="","",A110&amp;" · "&amp;B110)</f>
        <v/>
      </c>
    </row>
    <row r="111" customFormat="false" ht="15" hidden="false" customHeight="false" outlineLevel="0" collapsed="false">
      <c r="A111" s="93" t="s">
        <v>254</v>
      </c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6"/>
      <c r="M111" s="96" t="str">
        <f aca="false">IF(B111="","",COUNTIF(Conversas!$B$5:$B$500,A111&amp;"*"))</f>
        <v/>
      </c>
      <c r="N111" s="97" t="str">
        <f aca="false">IF(B111="","",IF(M111=0,"",_xlfn.MAXIFS(Conversas!$C$5:$C$500,Conversas!$B$5:$B$500,A111&amp;"*")))</f>
        <v/>
      </c>
      <c r="O111" s="107"/>
      <c r="P111" s="99" t="str">
        <f aca="true">IF(B111="","",IF(O111="","Sem data",IF(O111&lt;TODAY(),"⚠ Atrasado",IF(O111-TODAY()&lt;=7,"Esta semana","Agendado"))))</f>
        <v/>
      </c>
      <c r="Q111" s="96" t="str">
        <f aca="false">IF(B111="","",COUNTIF('Geral - Soluções'!$E$5:$E$500,A111&amp;"*")+COUNTIF('Mentoring - Soluções'!$E$5:$E$500,A111&amp;"*")+COUNTIF('Feira - Soluções'!$E$5:$E$500,A111&amp;"*")+COUNTIF('Inova - Soluções'!$E$5:$E$500,A111&amp;"*")+COUNTIF('Sensibilizando - Soluções'!$E$5:$E$500,A111&amp;"*"))</f>
        <v/>
      </c>
      <c r="R111" s="105"/>
      <c r="S111" s="100" t="str">
        <f aca="false">IF(B111="","",A111&amp;" · "&amp;B111)</f>
        <v/>
      </c>
    </row>
    <row r="112" customFormat="false" ht="15" hidden="false" customHeight="false" outlineLevel="0" collapsed="false">
      <c r="A112" s="101" t="s">
        <v>255</v>
      </c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3"/>
      <c r="M112" s="96" t="str">
        <f aca="false">IF(B112="","",COUNTIF(Conversas!$B$5:$B$500,A112&amp;"*"))</f>
        <v/>
      </c>
      <c r="N112" s="97" t="str">
        <f aca="false">IF(B112="","",IF(M112=0,"",_xlfn.MAXIFS(Conversas!$C$5:$C$500,Conversas!$B$5:$B$500,A112&amp;"*")))</f>
        <v/>
      </c>
      <c r="O112" s="104"/>
      <c r="P112" s="99" t="str">
        <f aca="true">IF(B112="","",IF(O112="","Sem data",IF(O112&lt;TODAY(),"⚠ Atrasado",IF(O112-TODAY()&lt;=7,"Esta semana","Agendado"))))</f>
        <v/>
      </c>
      <c r="Q112" s="96" t="str">
        <f aca="false">IF(B112="","",COUNTIF('Geral - Soluções'!$E$5:$E$500,A112&amp;"*")+COUNTIF('Mentoring - Soluções'!$E$5:$E$500,A112&amp;"*")+COUNTIF('Feira - Soluções'!$E$5:$E$500,A112&amp;"*")+COUNTIF('Inova - Soluções'!$E$5:$E$500,A112&amp;"*")+COUNTIF('Sensibilizando - Soluções'!$E$5:$E$500,A112&amp;"*"))</f>
        <v/>
      </c>
      <c r="R112" s="102"/>
      <c r="S112" s="100" t="str">
        <f aca="false">IF(B112="","",A112&amp;" · "&amp;B112)</f>
        <v/>
      </c>
    </row>
    <row r="113" customFormat="false" ht="15" hidden="false" customHeight="false" outlineLevel="0" collapsed="false">
      <c r="A113" s="93" t="s">
        <v>256</v>
      </c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6"/>
      <c r="M113" s="96" t="str">
        <f aca="false">IF(B113="","",COUNTIF(Conversas!$B$5:$B$500,A113&amp;"*"))</f>
        <v/>
      </c>
      <c r="N113" s="97" t="str">
        <f aca="false">IF(B113="","",IF(M113=0,"",_xlfn.MAXIFS(Conversas!$C$5:$C$500,Conversas!$B$5:$B$500,A113&amp;"*")))</f>
        <v/>
      </c>
      <c r="O113" s="107"/>
      <c r="P113" s="99" t="str">
        <f aca="true">IF(B113="","",IF(O113="","Sem data",IF(O113&lt;TODAY(),"⚠ Atrasado",IF(O113-TODAY()&lt;=7,"Esta semana","Agendado"))))</f>
        <v/>
      </c>
      <c r="Q113" s="96" t="str">
        <f aca="false">IF(B113="","",COUNTIF('Geral - Soluções'!$E$5:$E$500,A113&amp;"*")+COUNTIF('Mentoring - Soluções'!$E$5:$E$500,A113&amp;"*")+COUNTIF('Feira - Soluções'!$E$5:$E$500,A113&amp;"*")+COUNTIF('Inova - Soluções'!$E$5:$E$500,A113&amp;"*")+COUNTIF('Sensibilizando - Soluções'!$E$5:$E$500,A113&amp;"*"))</f>
        <v/>
      </c>
      <c r="R113" s="105"/>
      <c r="S113" s="100" t="str">
        <f aca="false">IF(B113="","",A113&amp;" · "&amp;B113)</f>
        <v/>
      </c>
    </row>
    <row r="114" customFormat="false" ht="15" hidden="false" customHeight="false" outlineLevel="0" collapsed="false">
      <c r="A114" s="101" t="s">
        <v>257</v>
      </c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3"/>
      <c r="M114" s="96" t="str">
        <f aca="false">IF(B114="","",COUNTIF(Conversas!$B$5:$B$500,A114&amp;"*"))</f>
        <v/>
      </c>
      <c r="N114" s="97" t="str">
        <f aca="false">IF(B114="","",IF(M114=0,"",_xlfn.MAXIFS(Conversas!$C$5:$C$500,Conversas!$B$5:$B$500,A114&amp;"*")))</f>
        <v/>
      </c>
      <c r="O114" s="104"/>
      <c r="P114" s="99" t="str">
        <f aca="true">IF(B114="","",IF(O114="","Sem data",IF(O114&lt;TODAY(),"⚠ Atrasado",IF(O114-TODAY()&lt;=7,"Esta semana","Agendado"))))</f>
        <v/>
      </c>
      <c r="Q114" s="96" t="str">
        <f aca="false">IF(B114="","",COUNTIF('Geral - Soluções'!$E$5:$E$500,A114&amp;"*")+COUNTIF('Mentoring - Soluções'!$E$5:$E$500,A114&amp;"*")+COUNTIF('Feira - Soluções'!$E$5:$E$500,A114&amp;"*")+COUNTIF('Inova - Soluções'!$E$5:$E$500,A114&amp;"*")+COUNTIF('Sensibilizando - Soluções'!$E$5:$E$500,A114&amp;"*"))</f>
        <v/>
      </c>
      <c r="R114" s="102"/>
      <c r="S114" s="100" t="str">
        <f aca="false">IF(B114="","",A114&amp;" · "&amp;B114)</f>
        <v/>
      </c>
    </row>
    <row r="115" customFormat="false" ht="15" hidden="false" customHeight="false" outlineLevel="0" collapsed="false">
      <c r="A115" s="93" t="s">
        <v>258</v>
      </c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6"/>
      <c r="M115" s="96" t="str">
        <f aca="false">IF(B115="","",COUNTIF(Conversas!$B$5:$B$500,A115&amp;"*"))</f>
        <v/>
      </c>
      <c r="N115" s="97" t="str">
        <f aca="false">IF(B115="","",IF(M115=0,"",_xlfn.MAXIFS(Conversas!$C$5:$C$500,Conversas!$B$5:$B$500,A115&amp;"*")))</f>
        <v/>
      </c>
      <c r="O115" s="107"/>
      <c r="P115" s="99" t="str">
        <f aca="true">IF(B115="","",IF(O115="","Sem data",IF(O115&lt;TODAY(),"⚠ Atrasado",IF(O115-TODAY()&lt;=7,"Esta semana","Agendado"))))</f>
        <v/>
      </c>
      <c r="Q115" s="96" t="str">
        <f aca="false">IF(B115="","",COUNTIF('Geral - Soluções'!$E$5:$E$500,A115&amp;"*")+COUNTIF('Mentoring - Soluções'!$E$5:$E$500,A115&amp;"*")+COUNTIF('Feira - Soluções'!$E$5:$E$500,A115&amp;"*")+COUNTIF('Inova - Soluções'!$E$5:$E$500,A115&amp;"*")+COUNTIF('Sensibilizando - Soluções'!$E$5:$E$500,A115&amp;"*"))</f>
        <v/>
      </c>
      <c r="R115" s="105"/>
      <c r="S115" s="100" t="str">
        <f aca="false">IF(B115="","",A115&amp;" · "&amp;B115)</f>
        <v/>
      </c>
    </row>
    <row r="116" customFormat="false" ht="15" hidden="false" customHeight="false" outlineLevel="0" collapsed="false">
      <c r="A116" s="101" t="s">
        <v>259</v>
      </c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3"/>
      <c r="M116" s="96" t="str">
        <f aca="false">IF(B116="","",COUNTIF(Conversas!$B$5:$B$500,A116&amp;"*"))</f>
        <v/>
      </c>
      <c r="N116" s="97" t="str">
        <f aca="false">IF(B116="","",IF(M116=0,"",_xlfn.MAXIFS(Conversas!$C$5:$C$500,Conversas!$B$5:$B$500,A116&amp;"*")))</f>
        <v/>
      </c>
      <c r="O116" s="104"/>
      <c r="P116" s="99" t="str">
        <f aca="true">IF(B116="","",IF(O116="","Sem data",IF(O116&lt;TODAY(),"⚠ Atrasado",IF(O116-TODAY()&lt;=7,"Esta semana","Agendado"))))</f>
        <v/>
      </c>
      <c r="Q116" s="96" t="str">
        <f aca="false">IF(B116="","",COUNTIF('Geral - Soluções'!$E$5:$E$500,A116&amp;"*")+COUNTIF('Mentoring - Soluções'!$E$5:$E$500,A116&amp;"*")+COUNTIF('Feira - Soluções'!$E$5:$E$500,A116&amp;"*")+COUNTIF('Inova - Soluções'!$E$5:$E$500,A116&amp;"*")+COUNTIF('Sensibilizando - Soluções'!$E$5:$E$500,A116&amp;"*"))</f>
        <v/>
      </c>
      <c r="R116" s="102"/>
      <c r="S116" s="100" t="str">
        <f aca="false">IF(B116="","",A116&amp;" · "&amp;B116)</f>
        <v/>
      </c>
    </row>
    <row r="117" customFormat="false" ht="15" hidden="false" customHeight="false" outlineLevel="0" collapsed="false">
      <c r="A117" s="93" t="s">
        <v>260</v>
      </c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6"/>
      <c r="M117" s="96" t="str">
        <f aca="false">IF(B117="","",COUNTIF(Conversas!$B$5:$B$500,A117&amp;"*"))</f>
        <v/>
      </c>
      <c r="N117" s="97" t="str">
        <f aca="false">IF(B117="","",IF(M117=0,"",_xlfn.MAXIFS(Conversas!$C$5:$C$500,Conversas!$B$5:$B$500,A117&amp;"*")))</f>
        <v/>
      </c>
      <c r="O117" s="107"/>
      <c r="P117" s="99" t="str">
        <f aca="true">IF(B117="","",IF(O117="","Sem data",IF(O117&lt;TODAY(),"⚠ Atrasado",IF(O117-TODAY()&lt;=7,"Esta semana","Agendado"))))</f>
        <v/>
      </c>
      <c r="Q117" s="96" t="str">
        <f aca="false">IF(B117="","",COUNTIF('Geral - Soluções'!$E$5:$E$500,A117&amp;"*")+COUNTIF('Mentoring - Soluções'!$E$5:$E$500,A117&amp;"*")+COUNTIF('Feira - Soluções'!$E$5:$E$500,A117&amp;"*")+COUNTIF('Inova - Soluções'!$E$5:$E$500,A117&amp;"*")+COUNTIF('Sensibilizando - Soluções'!$E$5:$E$500,A117&amp;"*"))</f>
        <v/>
      </c>
      <c r="R117" s="105"/>
      <c r="S117" s="100" t="str">
        <f aca="false">IF(B117="","",A117&amp;" · "&amp;B117)</f>
        <v/>
      </c>
    </row>
    <row r="118" customFormat="false" ht="15" hidden="false" customHeight="false" outlineLevel="0" collapsed="false">
      <c r="A118" s="101" t="s">
        <v>261</v>
      </c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3"/>
      <c r="M118" s="96" t="str">
        <f aca="false">IF(B118="","",COUNTIF(Conversas!$B$5:$B$500,A118&amp;"*"))</f>
        <v/>
      </c>
      <c r="N118" s="97" t="str">
        <f aca="false">IF(B118="","",IF(M118=0,"",_xlfn.MAXIFS(Conversas!$C$5:$C$500,Conversas!$B$5:$B$500,A118&amp;"*")))</f>
        <v/>
      </c>
      <c r="O118" s="104"/>
      <c r="P118" s="99" t="str">
        <f aca="true">IF(B118="","",IF(O118="","Sem data",IF(O118&lt;TODAY(),"⚠ Atrasado",IF(O118-TODAY()&lt;=7,"Esta semana","Agendado"))))</f>
        <v/>
      </c>
      <c r="Q118" s="96" t="str">
        <f aca="false">IF(B118="","",COUNTIF('Geral - Soluções'!$E$5:$E$500,A118&amp;"*")+COUNTIF('Mentoring - Soluções'!$E$5:$E$500,A118&amp;"*")+COUNTIF('Feira - Soluções'!$E$5:$E$500,A118&amp;"*")+COUNTIF('Inova - Soluções'!$E$5:$E$500,A118&amp;"*")+COUNTIF('Sensibilizando - Soluções'!$E$5:$E$500,A118&amp;"*"))</f>
        <v/>
      </c>
      <c r="R118" s="102"/>
      <c r="S118" s="100" t="str">
        <f aca="false">IF(B118="","",A118&amp;" · "&amp;B118)</f>
        <v/>
      </c>
    </row>
    <row r="119" customFormat="false" ht="15" hidden="false" customHeight="false" outlineLevel="0" collapsed="false">
      <c r="A119" s="93" t="s">
        <v>262</v>
      </c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6"/>
      <c r="M119" s="96" t="str">
        <f aca="false">IF(B119="","",COUNTIF(Conversas!$B$5:$B$500,A119&amp;"*"))</f>
        <v/>
      </c>
      <c r="N119" s="97" t="str">
        <f aca="false">IF(B119="","",IF(M119=0,"",_xlfn.MAXIFS(Conversas!$C$5:$C$500,Conversas!$B$5:$B$500,A119&amp;"*")))</f>
        <v/>
      </c>
      <c r="O119" s="107"/>
      <c r="P119" s="99" t="str">
        <f aca="true">IF(B119="","",IF(O119="","Sem data",IF(O119&lt;TODAY(),"⚠ Atrasado",IF(O119-TODAY()&lt;=7,"Esta semana","Agendado"))))</f>
        <v/>
      </c>
      <c r="Q119" s="96" t="str">
        <f aca="false">IF(B119="","",COUNTIF('Geral - Soluções'!$E$5:$E$500,A119&amp;"*")+COUNTIF('Mentoring - Soluções'!$E$5:$E$500,A119&amp;"*")+COUNTIF('Feira - Soluções'!$E$5:$E$500,A119&amp;"*")+COUNTIF('Inova - Soluções'!$E$5:$E$500,A119&amp;"*")+COUNTIF('Sensibilizando - Soluções'!$E$5:$E$500,A119&amp;"*"))</f>
        <v/>
      </c>
      <c r="R119" s="105"/>
      <c r="S119" s="100" t="str">
        <f aca="false">IF(B119="","",A119&amp;" · "&amp;B119)</f>
        <v/>
      </c>
    </row>
    <row r="120" customFormat="false" ht="15" hidden="false" customHeight="false" outlineLevel="0" collapsed="false">
      <c r="A120" s="101" t="s">
        <v>263</v>
      </c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3"/>
      <c r="M120" s="96" t="str">
        <f aca="false">IF(B120="","",COUNTIF(Conversas!$B$5:$B$500,A120&amp;"*"))</f>
        <v/>
      </c>
      <c r="N120" s="97" t="str">
        <f aca="false">IF(B120="","",IF(M120=0,"",_xlfn.MAXIFS(Conversas!$C$5:$C$500,Conversas!$B$5:$B$500,A120&amp;"*")))</f>
        <v/>
      </c>
      <c r="O120" s="104"/>
      <c r="P120" s="99" t="str">
        <f aca="true">IF(B120="","",IF(O120="","Sem data",IF(O120&lt;TODAY(),"⚠ Atrasado",IF(O120-TODAY()&lt;=7,"Esta semana","Agendado"))))</f>
        <v/>
      </c>
      <c r="Q120" s="96" t="str">
        <f aca="false">IF(B120="","",COUNTIF('Geral - Soluções'!$E$5:$E$500,A120&amp;"*")+COUNTIF('Mentoring - Soluções'!$E$5:$E$500,A120&amp;"*")+COUNTIF('Feira - Soluções'!$E$5:$E$500,A120&amp;"*")+COUNTIF('Inova - Soluções'!$E$5:$E$500,A120&amp;"*")+COUNTIF('Sensibilizando - Soluções'!$E$5:$E$500,A120&amp;"*"))</f>
        <v/>
      </c>
      <c r="R120" s="102"/>
      <c r="S120" s="100" t="str">
        <f aca="false">IF(B120="","",A120&amp;" · "&amp;B120)</f>
        <v/>
      </c>
    </row>
    <row r="121" customFormat="false" ht="15" hidden="false" customHeight="false" outlineLevel="0" collapsed="false">
      <c r="A121" s="93" t="s">
        <v>264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6"/>
      <c r="M121" s="96" t="str">
        <f aca="false">IF(B121="","",COUNTIF(Conversas!$B$5:$B$500,A121&amp;"*"))</f>
        <v/>
      </c>
      <c r="N121" s="97" t="str">
        <f aca="false">IF(B121="","",IF(M121=0,"",_xlfn.MAXIFS(Conversas!$C$5:$C$500,Conversas!$B$5:$B$500,A121&amp;"*")))</f>
        <v/>
      </c>
      <c r="O121" s="107"/>
      <c r="P121" s="99" t="str">
        <f aca="true">IF(B121="","",IF(O121="","Sem data",IF(O121&lt;TODAY(),"⚠ Atrasado",IF(O121-TODAY()&lt;=7,"Esta semana","Agendado"))))</f>
        <v/>
      </c>
      <c r="Q121" s="96" t="str">
        <f aca="false">IF(B121="","",COUNTIF('Geral - Soluções'!$E$5:$E$500,A121&amp;"*")+COUNTIF('Mentoring - Soluções'!$E$5:$E$500,A121&amp;"*")+COUNTIF('Feira - Soluções'!$E$5:$E$500,A121&amp;"*")+COUNTIF('Inova - Soluções'!$E$5:$E$500,A121&amp;"*")+COUNTIF('Sensibilizando - Soluções'!$E$5:$E$500,A121&amp;"*"))</f>
        <v/>
      </c>
      <c r="R121" s="105"/>
      <c r="S121" s="100" t="str">
        <f aca="false">IF(B121="","",A121&amp;" · "&amp;B121)</f>
        <v/>
      </c>
    </row>
    <row r="122" customFormat="false" ht="15" hidden="false" customHeight="false" outlineLevel="0" collapsed="false">
      <c r="A122" s="101" t="s">
        <v>265</v>
      </c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3"/>
      <c r="M122" s="96" t="str">
        <f aca="false">IF(B122="","",COUNTIF(Conversas!$B$5:$B$500,A122&amp;"*"))</f>
        <v/>
      </c>
      <c r="N122" s="97" t="str">
        <f aca="false">IF(B122="","",IF(M122=0,"",_xlfn.MAXIFS(Conversas!$C$5:$C$500,Conversas!$B$5:$B$500,A122&amp;"*")))</f>
        <v/>
      </c>
      <c r="O122" s="104"/>
      <c r="P122" s="99" t="str">
        <f aca="true">IF(B122="","",IF(O122="","Sem data",IF(O122&lt;TODAY(),"⚠ Atrasado",IF(O122-TODAY()&lt;=7,"Esta semana","Agendado"))))</f>
        <v/>
      </c>
      <c r="Q122" s="96" t="str">
        <f aca="false">IF(B122="","",COUNTIF('Geral - Soluções'!$E$5:$E$500,A122&amp;"*")+COUNTIF('Mentoring - Soluções'!$E$5:$E$500,A122&amp;"*")+COUNTIF('Feira - Soluções'!$E$5:$E$500,A122&amp;"*")+COUNTIF('Inova - Soluções'!$E$5:$E$500,A122&amp;"*")+COUNTIF('Sensibilizando - Soluções'!$E$5:$E$500,A122&amp;"*"))</f>
        <v/>
      </c>
      <c r="R122" s="102"/>
      <c r="S122" s="100" t="str">
        <f aca="false">IF(B122="","",A122&amp;" · "&amp;B122)</f>
        <v/>
      </c>
    </row>
    <row r="123" customFormat="false" ht="15" hidden="false" customHeight="false" outlineLevel="0" collapsed="false">
      <c r="A123" s="93" t="s">
        <v>266</v>
      </c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6"/>
      <c r="M123" s="96" t="str">
        <f aca="false">IF(B123="","",COUNTIF(Conversas!$B$5:$B$500,A123&amp;"*"))</f>
        <v/>
      </c>
      <c r="N123" s="97" t="str">
        <f aca="false">IF(B123="","",IF(M123=0,"",_xlfn.MAXIFS(Conversas!$C$5:$C$500,Conversas!$B$5:$B$500,A123&amp;"*")))</f>
        <v/>
      </c>
      <c r="O123" s="107"/>
      <c r="P123" s="99" t="str">
        <f aca="true">IF(B123="","",IF(O123="","Sem data",IF(O123&lt;TODAY(),"⚠ Atrasado",IF(O123-TODAY()&lt;=7,"Esta semana","Agendado"))))</f>
        <v/>
      </c>
      <c r="Q123" s="96" t="str">
        <f aca="false">IF(B123="","",COUNTIF('Geral - Soluções'!$E$5:$E$500,A123&amp;"*")+COUNTIF('Mentoring - Soluções'!$E$5:$E$500,A123&amp;"*")+COUNTIF('Feira - Soluções'!$E$5:$E$500,A123&amp;"*")+COUNTIF('Inova - Soluções'!$E$5:$E$500,A123&amp;"*")+COUNTIF('Sensibilizando - Soluções'!$E$5:$E$500,A123&amp;"*"))</f>
        <v/>
      </c>
      <c r="R123" s="105"/>
      <c r="S123" s="100" t="str">
        <f aca="false">IF(B123="","",A123&amp;" · "&amp;B123)</f>
        <v/>
      </c>
    </row>
    <row r="124" customFormat="false" ht="15" hidden="false" customHeight="false" outlineLevel="0" collapsed="false">
      <c r="A124" s="101" t="s">
        <v>267</v>
      </c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3"/>
      <c r="M124" s="96" t="str">
        <f aca="false">IF(B124="","",COUNTIF(Conversas!$B$5:$B$500,A124&amp;"*"))</f>
        <v/>
      </c>
      <c r="N124" s="97" t="str">
        <f aca="false">IF(B124="","",IF(M124=0,"",_xlfn.MAXIFS(Conversas!$C$5:$C$500,Conversas!$B$5:$B$500,A124&amp;"*")))</f>
        <v/>
      </c>
      <c r="O124" s="104"/>
      <c r="P124" s="99" t="str">
        <f aca="true">IF(B124="","",IF(O124="","Sem data",IF(O124&lt;TODAY(),"⚠ Atrasado",IF(O124-TODAY()&lt;=7,"Esta semana","Agendado"))))</f>
        <v/>
      </c>
      <c r="Q124" s="96" t="str">
        <f aca="false">IF(B124="","",COUNTIF('Geral - Soluções'!$E$5:$E$500,A124&amp;"*")+COUNTIF('Mentoring - Soluções'!$E$5:$E$500,A124&amp;"*")+COUNTIF('Feira - Soluções'!$E$5:$E$500,A124&amp;"*")+COUNTIF('Inova - Soluções'!$E$5:$E$500,A124&amp;"*")+COUNTIF('Sensibilizando - Soluções'!$E$5:$E$500,A124&amp;"*"))</f>
        <v/>
      </c>
      <c r="R124" s="102"/>
      <c r="S124" s="100" t="str">
        <f aca="false">IF(B124="","",A124&amp;" · "&amp;B124)</f>
        <v/>
      </c>
    </row>
    <row r="125" customFormat="false" ht="15" hidden="false" customHeight="false" outlineLevel="0" collapsed="false">
      <c r="A125" s="93" t="s">
        <v>268</v>
      </c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6"/>
      <c r="M125" s="96" t="str">
        <f aca="false">IF(B125="","",COUNTIF(Conversas!$B$5:$B$500,A125&amp;"*"))</f>
        <v/>
      </c>
      <c r="N125" s="97" t="str">
        <f aca="false">IF(B125="","",IF(M125=0,"",_xlfn.MAXIFS(Conversas!$C$5:$C$500,Conversas!$B$5:$B$500,A125&amp;"*")))</f>
        <v/>
      </c>
      <c r="O125" s="107"/>
      <c r="P125" s="99" t="str">
        <f aca="true">IF(B125="","",IF(O125="","Sem data",IF(O125&lt;TODAY(),"⚠ Atrasado",IF(O125-TODAY()&lt;=7,"Esta semana","Agendado"))))</f>
        <v/>
      </c>
      <c r="Q125" s="96" t="str">
        <f aca="false">IF(B125="","",COUNTIF('Geral - Soluções'!$E$5:$E$500,A125&amp;"*")+COUNTIF('Mentoring - Soluções'!$E$5:$E$500,A125&amp;"*")+COUNTIF('Feira - Soluções'!$E$5:$E$500,A125&amp;"*")+COUNTIF('Inova - Soluções'!$E$5:$E$500,A125&amp;"*")+COUNTIF('Sensibilizando - Soluções'!$E$5:$E$500,A125&amp;"*"))</f>
        <v/>
      </c>
      <c r="R125" s="105"/>
      <c r="S125" s="100" t="str">
        <f aca="false">IF(B125="","",A125&amp;" · "&amp;B125)</f>
        <v/>
      </c>
    </row>
    <row r="126" customFormat="false" ht="15" hidden="false" customHeight="false" outlineLevel="0" collapsed="false">
      <c r="A126" s="101" t="s">
        <v>269</v>
      </c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3"/>
      <c r="M126" s="96" t="str">
        <f aca="false">IF(B126="","",COUNTIF(Conversas!$B$5:$B$500,A126&amp;"*"))</f>
        <v/>
      </c>
      <c r="N126" s="97" t="str">
        <f aca="false">IF(B126="","",IF(M126=0,"",_xlfn.MAXIFS(Conversas!$C$5:$C$500,Conversas!$B$5:$B$500,A126&amp;"*")))</f>
        <v/>
      </c>
      <c r="O126" s="104"/>
      <c r="P126" s="99" t="str">
        <f aca="true">IF(B126="","",IF(O126="","Sem data",IF(O126&lt;TODAY(),"⚠ Atrasado",IF(O126-TODAY()&lt;=7,"Esta semana","Agendado"))))</f>
        <v/>
      </c>
      <c r="Q126" s="96" t="str">
        <f aca="false">IF(B126="","",COUNTIF('Geral - Soluções'!$E$5:$E$500,A126&amp;"*")+COUNTIF('Mentoring - Soluções'!$E$5:$E$500,A126&amp;"*")+COUNTIF('Feira - Soluções'!$E$5:$E$500,A126&amp;"*")+COUNTIF('Inova - Soluções'!$E$5:$E$500,A126&amp;"*")+COUNTIF('Sensibilizando - Soluções'!$E$5:$E$500,A126&amp;"*"))</f>
        <v/>
      </c>
      <c r="R126" s="102"/>
      <c r="S126" s="100" t="str">
        <f aca="false">IF(B126="","",A126&amp;" · "&amp;B126)</f>
        <v/>
      </c>
    </row>
    <row r="127" customFormat="false" ht="15" hidden="false" customHeight="false" outlineLevel="0" collapsed="false">
      <c r="A127" s="93" t="s">
        <v>270</v>
      </c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6"/>
      <c r="M127" s="96" t="str">
        <f aca="false">IF(B127="","",COUNTIF(Conversas!$B$5:$B$500,A127&amp;"*"))</f>
        <v/>
      </c>
      <c r="N127" s="97" t="str">
        <f aca="false">IF(B127="","",IF(M127=0,"",_xlfn.MAXIFS(Conversas!$C$5:$C$500,Conversas!$B$5:$B$500,A127&amp;"*")))</f>
        <v/>
      </c>
      <c r="O127" s="107"/>
      <c r="P127" s="99" t="str">
        <f aca="true">IF(B127="","",IF(O127="","Sem data",IF(O127&lt;TODAY(),"⚠ Atrasado",IF(O127-TODAY()&lt;=7,"Esta semana","Agendado"))))</f>
        <v/>
      </c>
      <c r="Q127" s="96" t="str">
        <f aca="false">IF(B127="","",COUNTIF('Geral - Soluções'!$E$5:$E$500,A127&amp;"*")+COUNTIF('Mentoring - Soluções'!$E$5:$E$500,A127&amp;"*")+COUNTIF('Feira - Soluções'!$E$5:$E$500,A127&amp;"*")+COUNTIF('Inova - Soluções'!$E$5:$E$500,A127&amp;"*")+COUNTIF('Sensibilizando - Soluções'!$E$5:$E$500,A127&amp;"*"))</f>
        <v/>
      </c>
      <c r="R127" s="105"/>
      <c r="S127" s="100" t="str">
        <f aca="false">IF(B127="","",A127&amp;" · "&amp;B127)</f>
        <v/>
      </c>
    </row>
    <row r="128" customFormat="false" ht="15" hidden="false" customHeight="false" outlineLevel="0" collapsed="false">
      <c r="A128" s="101" t="s">
        <v>271</v>
      </c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3"/>
      <c r="M128" s="96" t="str">
        <f aca="false">IF(B128="","",COUNTIF(Conversas!$B$5:$B$500,A128&amp;"*"))</f>
        <v/>
      </c>
      <c r="N128" s="97" t="str">
        <f aca="false">IF(B128="","",IF(M128=0,"",_xlfn.MAXIFS(Conversas!$C$5:$C$500,Conversas!$B$5:$B$500,A128&amp;"*")))</f>
        <v/>
      </c>
      <c r="O128" s="104"/>
      <c r="P128" s="99" t="str">
        <f aca="true">IF(B128="","",IF(O128="","Sem data",IF(O128&lt;TODAY(),"⚠ Atrasado",IF(O128-TODAY()&lt;=7,"Esta semana","Agendado"))))</f>
        <v/>
      </c>
      <c r="Q128" s="96" t="str">
        <f aca="false">IF(B128="","",COUNTIF('Geral - Soluções'!$E$5:$E$500,A128&amp;"*")+COUNTIF('Mentoring - Soluções'!$E$5:$E$500,A128&amp;"*")+COUNTIF('Feira - Soluções'!$E$5:$E$500,A128&amp;"*")+COUNTIF('Inova - Soluções'!$E$5:$E$500,A128&amp;"*")+COUNTIF('Sensibilizando - Soluções'!$E$5:$E$500,A128&amp;"*"))</f>
        <v/>
      </c>
      <c r="R128" s="102"/>
      <c r="S128" s="100" t="str">
        <f aca="false">IF(B128="","",A128&amp;" · "&amp;B128)</f>
        <v/>
      </c>
    </row>
    <row r="129" customFormat="false" ht="15" hidden="false" customHeight="false" outlineLevel="0" collapsed="false">
      <c r="A129" s="93" t="s">
        <v>272</v>
      </c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6"/>
      <c r="M129" s="96" t="str">
        <f aca="false">IF(B129="","",COUNTIF(Conversas!$B$5:$B$500,A129&amp;"*"))</f>
        <v/>
      </c>
      <c r="N129" s="97" t="str">
        <f aca="false">IF(B129="","",IF(M129=0,"",_xlfn.MAXIFS(Conversas!$C$5:$C$500,Conversas!$B$5:$B$500,A129&amp;"*")))</f>
        <v/>
      </c>
      <c r="O129" s="107"/>
      <c r="P129" s="99" t="str">
        <f aca="true">IF(B129="","",IF(O129="","Sem data",IF(O129&lt;TODAY(),"⚠ Atrasado",IF(O129-TODAY()&lt;=7,"Esta semana","Agendado"))))</f>
        <v/>
      </c>
      <c r="Q129" s="96" t="str">
        <f aca="false">IF(B129="","",COUNTIF('Geral - Soluções'!$E$5:$E$500,A129&amp;"*")+COUNTIF('Mentoring - Soluções'!$E$5:$E$500,A129&amp;"*")+COUNTIF('Feira - Soluções'!$E$5:$E$500,A129&amp;"*")+COUNTIF('Inova - Soluções'!$E$5:$E$500,A129&amp;"*")+COUNTIF('Sensibilizando - Soluções'!$E$5:$E$500,A129&amp;"*"))</f>
        <v/>
      </c>
      <c r="R129" s="105"/>
      <c r="S129" s="100" t="str">
        <f aca="false">IF(B129="","",A129&amp;" · "&amp;B129)</f>
        <v/>
      </c>
    </row>
    <row r="130" customFormat="false" ht="15" hidden="false" customHeight="false" outlineLevel="0" collapsed="false">
      <c r="A130" s="101" t="s">
        <v>273</v>
      </c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3"/>
      <c r="M130" s="96" t="str">
        <f aca="false">IF(B130="","",COUNTIF(Conversas!$B$5:$B$500,A130&amp;"*"))</f>
        <v/>
      </c>
      <c r="N130" s="97" t="str">
        <f aca="false">IF(B130="","",IF(M130=0,"",_xlfn.MAXIFS(Conversas!$C$5:$C$500,Conversas!$B$5:$B$500,A130&amp;"*")))</f>
        <v/>
      </c>
      <c r="O130" s="104"/>
      <c r="P130" s="99" t="str">
        <f aca="true">IF(B130="","",IF(O130="","Sem data",IF(O130&lt;TODAY(),"⚠ Atrasado",IF(O130-TODAY()&lt;=7,"Esta semana","Agendado"))))</f>
        <v/>
      </c>
      <c r="Q130" s="96" t="str">
        <f aca="false">IF(B130="","",COUNTIF('Geral - Soluções'!$E$5:$E$500,A130&amp;"*")+COUNTIF('Mentoring - Soluções'!$E$5:$E$500,A130&amp;"*")+COUNTIF('Feira - Soluções'!$E$5:$E$500,A130&amp;"*")+COUNTIF('Inova - Soluções'!$E$5:$E$500,A130&amp;"*")+COUNTIF('Sensibilizando - Soluções'!$E$5:$E$500,A130&amp;"*"))</f>
        <v/>
      </c>
      <c r="R130" s="102"/>
      <c r="S130" s="100" t="str">
        <f aca="false">IF(B130="","",A130&amp;" · "&amp;B130)</f>
        <v/>
      </c>
    </row>
    <row r="131" customFormat="false" ht="15" hidden="false" customHeight="false" outlineLevel="0" collapsed="false">
      <c r="A131" s="93" t="s">
        <v>274</v>
      </c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6"/>
      <c r="M131" s="96" t="str">
        <f aca="false">IF(B131="","",COUNTIF(Conversas!$B$5:$B$500,A131&amp;"*"))</f>
        <v/>
      </c>
      <c r="N131" s="97" t="str">
        <f aca="false">IF(B131="","",IF(M131=0,"",_xlfn.MAXIFS(Conversas!$C$5:$C$500,Conversas!$B$5:$B$500,A131&amp;"*")))</f>
        <v/>
      </c>
      <c r="O131" s="107"/>
      <c r="P131" s="99" t="str">
        <f aca="true">IF(B131="","",IF(O131="","Sem data",IF(O131&lt;TODAY(),"⚠ Atrasado",IF(O131-TODAY()&lt;=7,"Esta semana","Agendado"))))</f>
        <v/>
      </c>
      <c r="Q131" s="96" t="str">
        <f aca="false">IF(B131="","",COUNTIF('Geral - Soluções'!$E$5:$E$500,A131&amp;"*")+COUNTIF('Mentoring - Soluções'!$E$5:$E$500,A131&amp;"*")+COUNTIF('Feira - Soluções'!$E$5:$E$500,A131&amp;"*")+COUNTIF('Inova - Soluções'!$E$5:$E$500,A131&amp;"*")+COUNTIF('Sensibilizando - Soluções'!$E$5:$E$500,A131&amp;"*"))</f>
        <v/>
      </c>
      <c r="R131" s="105"/>
      <c r="S131" s="100" t="str">
        <f aca="false">IF(B131="","",A131&amp;" · "&amp;B131)</f>
        <v/>
      </c>
    </row>
    <row r="132" customFormat="false" ht="15" hidden="false" customHeight="false" outlineLevel="0" collapsed="false">
      <c r="A132" s="101" t="s">
        <v>275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3"/>
      <c r="M132" s="96" t="str">
        <f aca="false">IF(B132="","",COUNTIF(Conversas!$B$5:$B$500,A132&amp;"*"))</f>
        <v/>
      </c>
      <c r="N132" s="97" t="str">
        <f aca="false">IF(B132="","",IF(M132=0,"",_xlfn.MAXIFS(Conversas!$C$5:$C$500,Conversas!$B$5:$B$500,A132&amp;"*")))</f>
        <v/>
      </c>
      <c r="O132" s="104"/>
      <c r="P132" s="99" t="str">
        <f aca="true">IF(B132="","",IF(O132="","Sem data",IF(O132&lt;TODAY(),"⚠ Atrasado",IF(O132-TODAY()&lt;=7,"Esta semana","Agendado"))))</f>
        <v/>
      </c>
      <c r="Q132" s="96" t="str">
        <f aca="false">IF(B132="","",COUNTIF('Geral - Soluções'!$E$5:$E$500,A132&amp;"*")+COUNTIF('Mentoring - Soluções'!$E$5:$E$500,A132&amp;"*")+COUNTIF('Feira - Soluções'!$E$5:$E$500,A132&amp;"*")+COUNTIF('Inova - Soluções'!$E$5:$E$500,A132&amp;"*")+COUNTIF('Sensibilizando - Soluções'!$E$5:$E$500,A132&amp;"*"))</f>
        <v/>
      </c>
      <c r="R132" s="102"/>
      <c r="S132" s="100" t="str">
        <f aca="false">IF(B132="","",A132&amp;" · "&amp;B132)</f>
        <v/>
      </c>
    </row>
    <row r="133" customFormat="false" ht="15" hidden="false" customHeight="false" outlineLevel="0" collapsed="false">
      <c r="A133" s="93" t="s">
        <v>276</v>
      </c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6"/>
      <c r="M133" s="96" t="str">
        <f aca="false">IF(B133="","",COUNTIF(Conversas!$B$5:$B$500,A133&amp;"*"))</f>
        <v/>
      </c>
      <c r="N133" s="97" t="str">
        <f aca="false">IF(B133="","",IF(M133=0,"",_xlfn.MAXIFS(Conversas!$C$5:$C$500,Conversas!$B$5:$B$500,A133&amp;"*")))</f>
        <v/>
      </c>
      <c r="O133" s="107"/>
      <c r="P133" s="99" t="str">
        <f aca="true">IF(B133="","",IF(O133="","Sem data",IF(O133&lt;TODAY(),"⚠ Atrasado",IF(O133-TODAY()&lt;=7,"Esta semana","Agendado"))))</f>
        <v/>
      </c>
      <c r="Q133" s="96" t="str">
        <f aca="false">IF(B133="","",COUNTIF('Geral - Soluções'!$E$5:$E$500,A133&amp;"*")+COUNTIF('Mentoring - Soluções'!$E$5:$E$500,A133&amp;"*")+COUNTIF('Feira - Soluções'!$E$5:$E$500,A133&amp;"*")+COUNTIF('Inova - Soluções'!$E$5:$E$500,A133&amp;"*")+COUNTIF('Sensibilizando - Soluções'!$E$5:$E$500,A133&amp;"*"))</f>
        <v/>
      </c>
      <c r="R133" s="105"/>
      <c r="S133" s="100" t="str">
        <f aca="false">IF(B133="","",A133&amp;" · "&amp;B133)</f>
        <v/>
      </c>
    </row>
    <row r="134" customFormat="false" ht="15" hidden="false" customHeight="false" outlineLevel="0" collapsed="false">
      <c r="A134" s="101" t="s">
        <v>277</v>
      </c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3"/>
      <c r="M134" s="96" t="str">
        <f aca="false">IF(B134="","",COUNTIF(Conversas!$B$5:$B$500,A134&amp;"*"))</f>
        <v/>
      </c>
      <c r="N134" s="97" t="str">
        <f aca="false">IF(B134="","",IF(M134=0,"",_xlfn.MAXIFS(Conversas!$C$5:$C$500,Conversas!$B$5:$B$500,A134&amp;"*")))</f>
        <v/>
      </c>
      <c r="O134" s="104"/>
      <c r="P134" s="99" t="str">
        <f aca="true">IF(B134="","",IF(O134="","Sem data",IF(O134&lt;TODAY(),"⚠ Atrasado",IF(O134-TODAY()&lt;=7,"Esta semana","Agendado"))))</f>
        <v/>
      </c>
      <c r="Q134" s="96" t="str">
        <f aca="false">IF(B134="","",COUNTIF('Geral - Soluções'!$E$5:$E$500,A134&amp;"*")+COUNTIF('Mentoring - Soluções'!$E$5:$E$500,A134&amp;"*")+COUNTIF('Feira - Soluções'!$E$5:$E$500,A134&amp;"*")+COUNTIF('Inova - Soluções'!$E$5:$E$500,A134&amp;"*")+COUNTIF('Sensibilizando - Soluções'!$E$5:$E$500,A134&amp;"*"))</f>
        <v/>
      </c>
      <c r="R134" s="102"/>
      <c r="S134" s="100" t="str">
        <f aca="false">IF(B134="","",A134&amp;" · "&amp;B134)</f>
        <v/>
      </c>
    </row>
    <row r="135" customFormat="false" ht="15" hidden="false" customHeight="false" outlineLevel="0" collapsed="false">
      <c r="A135" s="93" t="s">
        <v>278</v>
      </c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6"/>
      <c r="M135" s="96" t="str">
        <f aca="false">IF(B135="","",COUNTIF(Conversas!$B$5:$B$500,A135&amp;"*"))</f>
        <v/>
      </c>
      <c r="N135" s="97" t="str">
        <f aca="false">IF(B135="","",IF(M135=0,"",_xlfn.MAXIFS(Conversas!$C$5:$C$500,Conversas!$B$5:$B$500,A135&amp;"*")))</f>
        <v/>
      </c>
      <c r="O135" s="107"/>
      <c r="P135" s="99" t="str">
        <f aca="true">IF(B135="","",IF(O135="","Sem data",IF(O135&lt;TODAY(),"⚠ Atrasado",IF(O135-TODAY()&lt;=7,"Esta semana","Agendado"))))</f>
        <v/>
      </c>
      <c r="Q135" s="96" t="str">
        <f aca="false">IF(B135="","",COUNTIF('Geral - Soluções'!$E$5:$E$500,A135&amp;"*")+COUNTIF('Mentoring - Soluções'!$E$5:$E$500,A135&amp;"*")+COUNTIF('Feira - Soluções'!$E$5:$E$500,A135&amp;"*")+COUNTIF('Inova - Soluções'!$E$5:$E$500,A135&amp;"*")+COUNTIF('Sensibilizando - Soluções'!$E$5:$E$500,A135&amp;"*"))</f>
        <v/>
      </c>
      <c r="R135" s="105"/>
      <c r="S135" s="100" t="str">
        <f aca="false">IF(B135="","",A135&amp;" · "&amp;B135)</f>
        <v/>
      </c>
    </row>
    <row r="136" customFormat="false" ht="15" hidden="false" customHeight="false" outlineLevel="0" collapsed="false">
      <c r="A136" s="101" t="s">
        <v>279</v>
      </c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3"/>
      <c r="M136" s="96" t="str">
        <f aca="false">IF(B136="","",COUNTIF(Conversas!$B$5:$B$500,A136&amp;"*"))</f>
        <v/>
      </c>
      <c r="N136" s="97" t="str">
        <f aca="false">IF(B136="","",IF(M136=0,"",_xlfn.MAXIFS(Conversas!$C$5:$C$500,Conversas!$B$5:$B$500,A136&amp;"*")))</f>
        <v/>
      </c>
      <c r="O136" s="104"/>
      <c r="P136" s="99" t="str">
        <f aca="true">IF(B136="","",IF(O136="","Sem data",IF(O136&lt;TODAY(),"⚠ Atrasado",IF(O136-TODAY()&lt;=7,"Esta semana","Agendado"))))</f>
        <v/>
      </c>
      <c r="Q136" s="96" t="str">
        <f aca="false">IF(B136="","",COUNTIF('Geral - Soluções'!$E$5:$E$500,A136&amp;"*")+COUNTIF('Mentoring - Soluções'!$E$5:$E$500,A136&amp;"*")+COUNTIF('Feira - Soluções'!$E$5:$E$500,A136&amp;"*")+COUNTIF('Inova - Soluções'!$E$5:$E$500,A136&amp;"*")+COUNTIF('Sensibilizando - Soluções'!$E$5:$E$500,A136&amp;"*"))</f>
        <v/>
      </c>
      <c r="R136" s="102"/>
      <c r="S136" s="100" t="str">
        <f aca="false">IF(B136="","",A136&amp;" · "&amp;B136)</f>
        <v/>
      </c>
    </row>
    <row r="137" customFormat="false" ht="15" hidden="false" customHeight="false" outlineLevel="0" collapsed="false">
      <c r="A137" s="93" t="s">
        <v>280</v>
      </c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6"/>
      <c r="M137" s="96" t="str">
        <f aca="false">IF(B137="","",COUNTIF(Conversas!$B$5:$B$500,A137&amp;"*"))</f>
        <v/>
      </c>
      <c r="N137" s="97" t="str">
        <f aca="false">IF(B137="","",IF(M137=0,"",_xlfn.MAXIFS(Conversas!$C$5:$C$500,Conversas!$B$5:$B$500,A137&amp;"*")))</f>
        <v/>
      </c>
      <c r="O137" s="107"/>
      <c r="P137" s="99" t="str">
        <f aca="true">IF(B137="","",IF(O137="","Sem data",IF(O137&lt;TODAY(),"⚠ Atrasado",IF(O137-TODAY()&lt;=7,"Esta semana","Agendado"))))</f>
        <v/>
      </c>
      <c r="Q137" s="96" t="str">
        <f aca="false">IF(B137="","",COUNTIF('Geral - Soluções'!$E$5:$E$500,A137&amp;"*")+COUNTIF('Mentoring - Soluções'!$E$5:$E$500,A137&amp;"*")+COUNTIF('Feira - Soluções'!$E$5:$E$500,A137&amp;"*")+COUNTIF('Inova - Soluções'!$E$5:$E$500,A137&amp;"*")+COUNTIF('Sensibilizando - Soluções'!$E$5:$E$500,A137&amp;"*"))</f>
        <v/>
      </c>
      <c r="R137" s="105"/>
      <c r="S137" s="100" t="str">
        <f aca="false">IF(B137="","",A137&amp;" · "&amp;B137)</f>
        <v/>
      </c>
    </row>
    <row r="138" customFormat="false" ht="15" hidden="false" customHeight="false" outlineLevel="0" collapsed="false">
      <c r="A138" s="101" t="s">
        <v>281</v>
      </c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3"/>
      <c r="M138" s="96" t="str">
        <f aca="false">IF(B138="","",COUNTIF(Conversas!$B$5:$B$500,A138&amp;"*"))</f>
        <v/>
      </c>
      <c r="N138" s="97" t="str">
        <f aca="false">IF(B138="","",IF(M138=0,"",_xlfn.MAXIFS(Conversas!$C$5:$C$500,Conversas!$B$5:$B$500,A138&amp;"*")))</f>
        <v/>
      </c>
      <c r="O138" s="104"/>
      <c r="P138" s="99" t="str">
        <f aca="true">IF(B138="","",IF(O138="","Sem data",IF(O138&lt;TODAY(),"⚠ Atrasado",IF(O138-TODAY()&lt;=7,"Esta semana","Agendado"))))</f>
        <v/>
      </c>
      <c r="Q138" s="96" t="str">
        <f aca="false">IF(B138="","",COUNTIF('Geral - Soluções'!$E$5:$E$500,A138&amp;"*")+COUNTIF('Mentoring - Soluções'!$E$5:$E$500,A138&amp;"*")+COUNTIF('Feira - Soluções'!$E$5:$E$500,A138&amp;"*")+COUNTIF('Inova - Soluções'!$E$5:$E$500,A138&amp;"*")+COUNTIF('Sensibilizando - Soluções'!$E$5:$E$500,A138&amp;"*"))</f>
        <v/>
      </c>
      <c r="R138" s="102"/>
      <c r="S138" s="100" t="str">
        <f aca="false">IF(B138="","",A138&amp;" · "&amp;B138)</f>
        <v/>
      </c>
    </row>
    <row r="139" customFormat="false" ht="15" hidden="false" customHeight="false" outlineLevel="0" collapsed="false">
      <c r="A139" s="93" t="s">
        <v>282</v>
      </c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6"/>
      <c r="M139" s="96" t="str">
        <f aca="false">IF(B139="","",COUNTIF(Conversas!$B$5:$B$500,A139&amp;"*"))</f>
        <v/>
      </c>
      <c r="N139" s="97" t="str">
        <f aca="false">IF(B139="","",IF(M139=0,"",_xlfn.MAXIFS(Conversas!$C$5:$C$500,Conversas!$B$5:$B$500,A139&amp;"*")))</f>
        <v/>
      </c>
      <c r="O139" s="107"/>
      <c r="P139" s="99" t="str">
        <f aca="true">IF(B139="","",IF(O139="","Sem data",IF(O139&lt;TODAY(),"⚠ Atrasado",IF(O139-TODAY()&lt;=7,"Esta semana","Agendado"))))</f>
        <v/>
      </c>
      <c r="Q139" s="96" t="str">
        <f aca="false">IF(B139="","",COUNTIF('Geral - Soluções'!$E$5:$E$500,A139&amp;"*")+COUNTIF('Mentoring - Soluções'!$E$5:$E$500,A139&amp;"*")+COUNTIF('Feira - Soluções'!$E$5:$E$500,A139&amp;"*")+COUNTIF('Inova - Soluções'!$E$5:$E$500,A139&amp;"*")+COUNTIF('Sensibilizando - Soluções'!$E$5:$E$500,A139&amp;"*"))</f>
        <v/>
      </c>
      <c r="R139" s="105"/>
      <c r="S139" s="100" t="str">
        <f aca="false">IF(B139="","",A139&amp;" · "&amp;B139)</f>
        <v/>
      </c>
    </row>
    <row r="140" customFormat="false" ht="15" hidden="false" customHeight="false" outlineLevel="0" collapsed="false">
      <c r="A140" s="101" t="s">
        <v>283</v>
      </c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3"/>
      <c r="M140" s="96" t="str">
        <f aca="false">IF(B140="","",COUNTIF(Conversas!$B$5:$B$500,A140&amp;"*"))</f>
        <v/>
      </c>
      <c r="N140" s="97" t="str">
        <f aca="false">IF(B140="","",IF(M140=0,"",_xlfn.MAXIFS(Conversas!$C$5:$C$500,Conversas!$B$5:$B$500,A140&amp;"*")))</f>
        <v/>
      </c>
      <c r="O140" s="104"/>
      <c r="P140" s="99" t="str">
        <f aca="true">IF(B140="","",IF(O140="","Sem data",IF(O140&lt;TODAY(),"⚠ Atrasado",IF(O140-TODAY()&lt;=7,"Esta semana","Agendado"))))</f>
        <v/>
      </c>
      <c r="Q140" s="96" t="str">
        <f aca="false">IF(B140="","",COUNTIF('Geral - Soluções'!$E$5:$E$500,A140&amp;"*")+COUNTIF('Mentoring - Soluções'!$E$5:$E$500,A140&amp;"*")+COUNTIF('Feira - Soluções'!$E$5:$E$500,A140&amp;"*")+COUNTIF('Inova - Soluções'!$E$5:$E$500,A140&amp;"*")+COUNTIF('Sensibilizando - Soluções'!$E$5:$E$500,A140&amp;"*"))</f>
        <v/>
      </c>
      <c r="R140" s="102"/>
      <c r="S140" s="100" t="str">
        <f aca="false">IF(B140="","",A140&amp;" · "&amp;B140)</f>
        <v/>
      </c>
    </row>
    <row r="141" customFormat="false" ht="15" hidden="false" customHeight="false" outlineLevel="0" collapsed="false">
      <c r="A141" s="93" t="s">
        <v>284</v>
      </c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6"/>
      <c r="M141" s="96" t="str">
        <f aca="false">IF(B141="","",COUNTIF(Conversas!$B$5:$B$500,A141&amp;"*"))</f>
        <v/>
      </c>
      <c r="N141" s="97" t="str">
        <f aca="false">IF(B141="","",IF(M141=0,"",_xlfn.MAXIFS(Conversas!$C$5:$C$500,Conversas!$B$5:$B$500,A141&amp;"*")))</f>
        <v/>
      </c>
      <c r="O141" s="107"/>
      <c r="P141" s="99" t="str">
        <f aca="true">IF(B141="","",IF(O141="","Sem data",IF(O141&lt;TODAY(),"⚠ Atrasado",IF(O141-TODAY()&lt;=7,"Esta semana","Agendado"))))</f>
        <v/>
      </c>
      <c r="Q141" s="96" t="str">
        <f aca="false">IF(B141="","",COUNTIF('Geral - Soluções'!$E$5:$E$500,A141&amp;"*")+COUNTIF('Mentoring - Soluções'!$E$5:$E$500,A141&amp;"*")+COUNTIF('Feira - Soluções'!$E$5:$E$500,A141&amp;"*")+COUNTIF('Inova - Soluções'!$E$5:$E$500,A141&amp;"*")+COUNTIF('Sensibilizando - Soluções'!$E$5:$E$500,A141&amp;"*"))</f>
        <v/>
      </c>
      <c r="R141" s="105"/>
      <c r="S141" s="100" t="str">
        <f aca="false">IF(B141="","",A141&amp;" · "&amp;B141)</f>
        <v/>
      </c>
    </row>
    <row r="142" customFormat="false" ht="15" hidden="false" customHeight="false" outlineLevel="0" collapsed="false">
      <c r="A142" s="101" t="s">
        <v>285</v>
      </c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3"/>
      <c r="M142" s="96" t="str">
        <f aca="false">IF(B142="","",COUNTIF(Conversas!$B$5:$B$500,A142&amp;"*"))</f>
        <v/>
      </c>
      <c r="N142" s="97" t="str">
        <f aca="false">IF(B142="","",IF(M142=0,"",_xlfn.MAXIFS(Conversas!$C$5:$C$500,Conversas!$B$5:$B$500,A142&amp;"*")))</f>
        <v/>
      </c>
      <c r="O142" s="104"/>
      <c r="P142" s="99" t="str">
        <f aca="true">IF(B142="","",IF(O142="","Sem data",IF(O142&lt;TODAY(),"⚠ Atrasado",IF(O142-TODAY()&lt;=7,"Esta semana","Agendado"))))</f>
        <v/>
      </c>
      <c r="Q142" s="96" t="str">
        <f aca="false">IF(B142="","",COUNTIF('Geral - Soluções'!$E$5:$E$500,A142&amp;"*")+COUNTIF('Mentoring - Soluções'!$E$5:$E$500,A142&amp;"*")+COUNTIF('Feira - Soluções'!$E$5:$E$500,A142&amp;"*")+COUNTIF('Inova - Soluções'!$E$5:$E$500,A142&amp;"*")+COUNTIF('Sensibilizando - Soluções'!$E$5:$E$500,A142&amp;"*"))</f>
        <v/>
      </c>
      <c r="R142" s="102"/>
      <c r="S142" s="100" t="str">
        <f aca="false">IF(B142="","",A142&amp;" · "&amp;B142)</f>
        <v/>
      </c>
    </row>
    <row r="143" customFormat="false" ht="15" hidden="false" customHeight="false" outlineLevel="0" collapsed="false">
      <c r="A143" s="93" t="s">
        <v>286</v>
      </c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6"/>
      <c r="M143" s="96" t="str">
        <f aca="false">IF(B143="","",COUNTIF(Conversas!$B$5:$B$500,A143&amp;"*"))</f>
        <v/>
      </c>
      <c r="N143" s="97" t="str">
        <f aca="false">IF(B143="","",IF(M143=0,"",_xlfn.MAXIFS(Conversas!$C$5:$C$500,Conversas!$B$5:$B$500,A143&amp;"*")))</f>
        <v/>
      </c>
      <c r="O143" s="107"/>
      <c r="P143" s="99" t="str">
        <f aca="true">IF(B143="","",IF(O143="","Sem data",IF(O143&lt;TODAY(),"⚠ Atrasado",IF(O143-TODAY()&lt;=7,"Esta semana","Agendado"))))</f>
        <v/>
      </c>
      <c r="Q143" s="96" t="str">
        <f aca="false">IF(B143="","",COUNTIF('Geral - Soluções'!$E$5:$E$500,A143&amp;"*")+COUNTIF('Mentoring - Soluções'!$E$5:$E$500,A143&amp;"*")+COUNTIF('Feira - Soluções'!$E$5:$E$500,A143&amp;"*")+COUNTIF('Inova - Soluções'!$E$5:$E$500,A143&amp;"*")+COUNTIF('Sensibilizando - Soluções'!$E$5:$E$500,A143&amp;"*"))</f>
        <v/>
      </c>
      <c r="R143" s="105"/>
      <c r="S143" s="100" t="str">
        <f aca="false">IF(B143="","",A143&amp;" · "&amp;B143)</f>
        <v/>
      </c>
    </row>
    <row r="144" customFormat="false" ht="15" hidden="false" customHeight="false" outlineLevel="0" collapsed="false">
      <c r="A144" s="101" t="s">
        <v>287</v>
      </c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3"/>
      <c r="M144" s="96" t="str">
        <f aca="false">IF(B144="","",COUNTIF(Conversas!$B$5:$B$500,A144&amp;"*"))</f>
        <v/>
      </c>
      <c r="N144" s="97" t="str">
        <f aca="false">IF(B144="","",IF(M144=0,"",_xlfn.MAXIFS(Conversas!$C$5:$C$500,Conversas!$B$5:$B$500,A144&amp;"*")))</f>
        <v/>
      </c>
      <c r="O144" s="104"/>
      <c r="P144" s="99" t="str">
        <f aca="true">IF(B144="","",IF(O144="","Sem data",IF(O144&lt;TODAY(),"⚠ Atrasado",IF(O144-TODAY()&lt;=7,"Esta semana","Agendado"))))</f>
        <v/>
      </c>
      <c r="Q144" s="96" t="str">
        <f aca="false">IF(B144="","",COUNTIF('Geral - Soluções'!$E$5:$E$500,A144&amp;"*")+COUNTIF('Mentoring - Soluções'!$E$5:$E$500,A144&amp;"*")+COUNTIF('Feira - Soluções'!$E$5:$E$500,A144&amp;"*")+COUNTIF('Inova - Soluções'!$E$5:$E$500,A144&amp;"*")+COUNTIF('Sensibilizando - Soluções'!$E$5:$E$500,A144&amp;"*"))</f>
        <v/>
      </c>
      <c r="R144" s="102"/>
      <c r="S144" s="100" t="str">
        <f aca="false">IF(B144="","",A144&amp;" · "&amp;B144)</f>
        <v/>
      </c>
    </row>
    <row r="145" customFormat="false" ht="15" hidden="false" customHeight="false" outlineLevel="0" collapsed="false">
      <c r="A145" s="93" t="s">
        <v>288</v>
      </c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6"/>
      <c r="M145" s="96" t="str">
        <f aca="false">IF(B145="","",COUNTIF(Conversas!$B$5:$B$500,A145&amp;"*"))</f>
        <v/>
      </c>
      <c r="N145" s="97" t="str">
        <f aca="false">IF(B145="","",IF(M145=0,"",_xlfn.MAXIFS(Conversas!$C$5:$C$500,Conversas!$B$5:$B$500,A145&amp;"*")))</f>
        <v/>
      </c>
      <c r="O145" s="107"/>
      <c r="P145" s="99" t="str">
        <f aca="true">IF(B145="","",IF(O145="","Sem data",IF(O145&lt;TODAY(),"⚠ Atrasado",IF(O145-TODAY()&lt;=7,"Esta semana","Agendado"))))</f>
        <v/>
      </c>
      <c r="Q145" s="96" t="str">
        <f aca="false">IF(B145="","",COUNTIF('Geral - Soluções'!$E$5:$E$500,A145&amp;"*")+COUNTIF('Mentoring - Soluções'!$E$5:$E$500,A145&amp;"*")+COUNTIF('Feira - Soluções'!$E$5:$E$500,A145&amp;"*")+COUNTIF('Inova - Soluções'!$E$5:$E$500,A145&amp;"*")+COUNTIF('Sensibilizando - Soluções'!$E$5:$E$500,A145&amp;"*"))</f>
        <v/>
      </c>
      <c r="R145" s="105"/>
      <c r="S145" s="100" t="str">
        <f aca="false">IF(B145="","",A145&amp;" · "&amp;B145)</f>
        <v/>
      </c>
    </row>
    <row r="146" customFormat="false" ht="15" hidden="false" customHeight="false" outlineLevel="0" collapsed="false">
      <c r="A146" s="101" t="s">
        <v>289</v>
      </c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3"/>
      <c r="M146" s="96" t="str">
        <f aca="false">IF(B146="","",COUNTIF(Conversas!$B$5:$B$500,A146&amp;"*"))</f>
        <v/>
      </c>
      <c r="N146" s="97" t="str">
        <f aca="false">IF(B146="","",IF(M146=0,"",_xlfn.MAXIFS(Conversas!$C$5:$C$500,Conversas!$B$5:$B$500,A146&amp;"*")))</f>
        <v/>
      </c>
      <c r="O146" s="104"/>
      <c r="P146" s="99" t="str">
        <f aca="true">IF(B146="","",IF(O146="","Sem data",IF(O146&lt;TODAY(),"⚠ Atrasado",IF(O146-TODAY()&lt;=7,"Esta semana","Agendado"))))</f>
        <v/>
      </c>
      <c r="Q146" s="96" t="str">
        <f aca="false">IF(B146="","",COUNTIF('Geral - Soluções'!$E$5:$E$500,A146&amp;"*")+COUNTIF('Mentoring - Soluções'!$E$5:$E$500,A146&amp;"*")+COUNTIF('Feira - Soluções'!$E$5:$E$500,A146&amp;"*")+COUNTIF('Inova - Soluções'!$E$5:$E$500,A146&amp;"*")+COUNTIF('Sensibilizando - Soluções'!$E$5:$E$500,A146&amp;"*"))</f>
        <v/>
      </c>
      <c r="R146" s="102"/>
      <c r="S146" s="100" t="str">
        <f aca="false">IF(B146="","",A146&amp;" · "&amp;B146)</f>
        <v/>
      </c>
    </row>
    <row r="147" customFormat="false" ht="15" hidden="false" customHeight="false" outlineLevel="0" collapsed="false">
      <c r="A147" s="93" t="s">
        <v>290</v>
      </c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6"/>
      <c r="M147" s="96" t="str">
        <f aca="false">IF(B147="","",COUNTIF(Conversas!$B$5:$B$500,A147&amp;"*"))</f>
        <v/>
      </c>
      <c r="N147" s="97" t="str">
        <f aca="false">IF(B147="","",IF(M147=0,"",_xlfn.MAXIFS(Conversas!$C$5:$C$500,Conversas!$B$5:$B$500,A147&amp;"*")))</f>
        <v/>
      </c>
      <c r="O147" s="107"/>
      <c r="P147" s="99" t="str">
        <f aca="true">IF(B147="","",IF(O147="","Sem data",IF(O147&lt;TODAY(),"⚠ Atrasado",IF(O147-TODAY()&lt;=7,"Esta semana","Agendado"))))</f>
        <v/>
      </c>
      <c r="Q147" s="96" t="str">
        <f aca="false">IF(B147="","",COUNTIF('Geral - Soluções'!$E$5:$E$500,A147&amp;"*")+COUNTIF('Mentoring - Soluções'!$E$5:$E$500,A147&amp;"*")+COUNTIF('Feira - Soluções'!$E$5:$E$500,A147&amp;"*")+COUNTIF('Inova - Soluções'!$E$5:$E$500,A147&amp;"*")+COUNTIF('Sensibilizando - Soluções'!$E$5:$E$500,A147&amp;"*"))</f>
        <v/>
      </c>
      <c r="R147" s="105"/>
      <c r="S147" s="100" t="str">
        <f aca="false">IF(B147="","",A147&amp;" · "&amp;B147)</f>
        <v/>
      </c>
    </row>
    <row r="148" customFormat="false" ht="15" hidden="false" customHeight="false" outlineLevel="0" collapsed="false">
      <c r="A148" s="101" t="s">
        <v>291</v>
      </c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3"/>
      <c r="M148" s="96" t="str">
        <f aca="false">IF(B148="","",COUNTIF(Conversas!$B$5:$B$500,A148&amp;"*"))</f>
        <v/>
      </c>
      <c r="N148" s="97" t="str">
        <f aca="false">IF(B148="","",IF(M148=0,"",_xlfn.MAXIFS(Conversas!$C$5:$C$500,Conversas!$B$5:$B$500,A148&amp;"*")))</f>
        <v/>
      </c>
      <c r="O148" s="104"/>
      <c r="P148" s="99" t="str">
        <f aca="true">IF(B148="","",IF(O148="","Sem data",IF(O148&lt;TODAY(),"⚠ Atrasado",IF(O148-TODAY()&lt;=7,"Esta semana","Agendado"))))</f>
        <v/>
      </c>
      <c r="Q148" s="96" t="str">
        <f aca="false">IF(B148="","",COUNTIF('Geral - Soluções'!$E$5:$E$500,A148&amp;"*")+COUNTIF('Mentoring - Soluções'!$E$5:$E$500,A148&amp;"*")+COUNTIF('Feira - Soluções'!$E$5:$E$500,A148&amp;"*")+COUNTIF('Inova - Soluções'!$E$5:$E$500,A148&amp;"*")+COUNTIF('Sensibilizando - Soluções'!$E$5:$E$500,A148&amp;"*"))</f>
        <v/>
      </c>
      <c r="R148" s="102"/>
      <c r="S148" s="100" t="str">
        <f aca="false">IF(B148="","",A148&amp;" · "&amp;B148)</f>
        <v/>
      </c>
    </row>
    <row r="149" customFormat="false" ht="15" hidden="false" customHeight="false" outlineLevel="0" collapsed="false">
      <c r="A149" s="93" t="s">
        <v>292</v>
      </c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6"/>
      <c r="M149" s="96" t="str">
        <f aca="false">IF(B149="","",COUNTIF(Conversas!$B$5:$B$500,A149&amp;"*"))</f>
        <v/>
      </c>
      <c r="N149" s="97" t="str">
        <f aca="false">IF(B149="","",IF(M149=0,"",_xlfn.MAXIFS(Conversas!$C$5:$C$500,Conversas!$B$5:$B$500,A149&amp;"*")))</f>
        <v/>
      </c>
      <c r="O149" s="107"/>
      <c r="P149" s="99" t="str">
        <f aca="true">IF(B149="","",IF(O149="","Sem data",IF(O149&lt;TODAY(),"⚠ Atrasado",IF(O149-TODAY()&lt;=7,"Esta semana","Agendado"))))</f>
        <v/>
      </c>
      <c r="Q149" s="96" t="str">
        <f aca="false">IF(B149="","",COUNTIF('Geral - Soluções'!$E$5:$E$500,A149&amp;"*")+COUNTIF('Mentoring - Soluções'!$E$5:$E$500,A149&amp;"*")+COUNTIF('Feira - Soluções'!$E$5:$E$500,A149&amp;"*")+COUNTIF('Inova - Soluções'!$E$5:$E$500,A149&amp;"*")+COUNTIF('Sensibilizando - Soluções'!$E$5:$E$500,A149&amp;"*"))</f>
        <v/>
      </c>
      <c r="R149" s="105"/>
      <c r="S149" s="100" t="str">
        <f aca="false">IF(B149="","",A149&amp;" · "&amp;B149)</f>
        <v/>
      </c>
    </row>
    <row r="150" customFormat="false" ht="15" hidden="false" customHeight="false" outlineLevel="0" collapsed="false">
      <c r="A150" s="101" t="s">
        <v>293</v>
      </c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3"/>
      <c r="M150" s="96" t="str">
        <f aca="false">IF(B150="","",COUNTIF(Conversas!$B$5:$B$500,A150&amp;"*"))</f>
        <v/>
      </c>
      <c r="N150" s="97" t="str">
        <f aca="false">IF(B150="","",IF(M150=0,"",_xlfn.MAXIFS(Conversas!$C$5:$C$500,Conversas!$B$5:$B$500,A150&amp;"*")))</f>
        <v/>
      </c>
      <c r="O150" s="104"/>
      <c r="P150" s="99" t="str">
        <f aca="true">IF(B150="","",IF(O150="","Sem data",IF(O150&lt;TODAY(),"⚠ Atrasado",IF(O150-TODAY()&lt;=7,"Esta semana","Agendado"))))</f>
        <v/>
      </c>
      <c r="Q150" s="96" t="str">
        <f aca="false">IF(B150="","",COUNTIF('Geral - Soluções'!$E$5:$E$500,A150&amp;"*")+COUNTIF('Mentoring - Soluções'!$E$5:$E$500,A150&amp;"*")+COUNTIF('Feira - Soluções'!$E$5:$E$500,A150&amp;"*")+COUNTIF('Inova - Soluções'!$E$5:$E$500,A150&amp;"*")+COUNTIF('Sensibilizando - Soluções'!$E$5:$E$500,A150&amp;"*"))</f>
        <v/>
      </c>
      <c r="R150" s="102"/>
      <c r="S150" s="100" t="str">
        <f aca="false">IF(B150="","",A150&amp;" · "&amp;B150)</f>
        <v/>
      </c>
    </row>
    <row r="151" customFormat="false" ht="15" hidden="false" customHeight="false" outlineLevel="0" collapsed="false">
      <c r="A151" s="93" t="s">
        <v>294</v>
      </c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6"/>
      <c r="M151" s="96" t="str">
        <f aca="false">IF(B151="","",COUNTIF(Conversas!$B$5:$B$500,A151&amp;"*"))</f>
        <v/>
      </c>
      <c r="N151" s="97" t="str">
        <f aca="false">IF(B151="","",IF(M151=0,"",_xlfn.MAXIFS(Conversas!$C$5:$C$500,Conversas!$B$5:$B$500,A151&amp;"*")))</f>
        <v/>
      </c>
      <c r="O151" s="107"/>
      <c r="P151" s="99" t="str">
        <f aca="true">IF(B151="","",IF(O151="","Sem data",IF(O151&lt;TODAY(),"⚠ Atrasado",IF(O151-TODAY()&lt;=7,"Esta semana","Agendado"))))</f>
        <v/>
      </c>
      <c r="Q151" s="96" t="str">
        <f aca="false">IF(B151="","",COUNTIF('Geral - Soluções'!$E$5:$E$500,A151&amp;"*")+COUNTIF('Mentoring - Soluções'!$E$5:$E$500,A151&amp;"*")+COUNTIF('Feira - Soluções'!$E$5:$E$500,A151&amp;"*")+COUNTIF('Inova - Soluções'!$E$5:$E$500,A151&amp;"*")+COUNTIF('Sensibilizando - Soluções'!$E$5:$E$500,A151&amp;"*"))</f>
        <v/>
      </c>
      <c r="R151" s="105"/>
      <c r="S151" s="100" t="str">
        <f aca="false">IF(B151="","",A151&amp;" · "&amp;B151)</f>
        <v/>
      </c>
    </row>
    <row r="152" customFormat="false" ht="15" hidden="false" customHeight="false" outlineLevel="0" collapsed="false">
      <c r="A152" s="101" t="s">
        <v>295</v>
      </c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3"/>
      <c r="M152" s="96" t="str">
        <f aca="false">IF(B152="","",COUNTIF(Conversas!$B$5:$B$500,A152&amp;"*"))</f>
        <v/>
      </c>
      <c r="N152" s="97" t="str">
        <f aca="false">IF(B152="","",IF(M152=0,"",_xlfn.MAXIFS(Conversas!$C$5:$C$500,Conversas!$B$5:$B$500,A152&amp;"*")))</f>
        <v/>
      </c>
      <c r="O152" s="104"/>
      <c r="P152" s="99" t="str">
        <f aca="true">IF(B152="","",IF(O152="","Sem data",IF(O152&lt;TODAY(),"⚠ Atrasado",IF(O152-TODAY()&lt;=7,"Esta semana","Agendado"))))</f>
        <v/>
      </c>
      <c r="Q152" s="96" t="str">
        <f aca="false">IF(B152="","",COUNTIF('Geral - Soluções'!$E$5:$E$500,A152&amp;"*")+COUNTIF('Mentoring - Soluções'!$E$5:$E$500,A152&amp;"*")+COUNTIF('Feira - Soluções'!$E$5:$E$500,A152&amp;"*")+COUNTIF('Inova - Soluções'!$E$5:$E$500,A152&amp;"*")+COUNTIF('Sensibilizando - Soluções'!$E$5:$E$500,A152&amp;"*"))</f>
        <v/>
      </c>
      <c r="R152" s="102"/>
      <c r="S152" s="100" t="str">
        <f aca="false">IF(B152="","",A152&amp;" · "&amp;B152)</f>
        <v/>
      </c>
    </row>
    <row r="153" customFormat="false" ht="15" hidden="false" customHeight="false" outlineLevel="0" collapsed="false">
      <c r="A153" s="93" t="s">
        <v>296</v>
      </c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6"/>
      <c r="M153" s="96" t="str">
        <f aca="false">IF(B153="","",COUNTIF(Conversas!$B$5:$B$500,A153&amp;"*"))</f>
        <v/>
      </c>
      <c r="N153" s="97" t="str">
        <f aca="false">IF(B153="","",IF(M153=0,"",_xlfn.MAXIFS(Conversas!$C$5:$C$500,Conversas!$B$5:$B$500,A153&amp;"*")))</f>
        <v/>
      </c>
      <c r="O153" s="107"/>
      <c r="P153" s="99" t="str">
        <f aca="true">IF(B153="","",IF(O153="","Sem data",IF(O153&lt;TODAY(),"⚠ Atrasado",IF(O153-TODAY()&lt;=7,"Esta semana","Agendado"))))</f>
        <v/>
      </c>
      <c r="Q153" s="96" t="str">
        <f aca="false">IF(B153="","",COUNTIF('Geral - Soluções'!$E$5:$E$500,A153&amp;"*")+COUNTIF('Mentoring - Soluções'!$E$5:$E$500,A153&amp;"*")+COUNTIF('Feira - Soluções'!$E$5:$E$500,A153&amp;"*")+COUNTIF('Inova - Soluções'!$E$5:$E$500,A153&amp;"*")+COUNTIF('Sensibilizando - Soluções'!$E$5:$E$500,A153&amp;"*"))</f>
        <v/>
      </c>
      <c r="R153" s="105"/>
      <c r="S153" s="100" t="str">
        <f aca="false">IF(B153="","",A153&amp;" · "&amp;B153)</f>
        <v/>
      </c>
    </row>
    <row r="154" customFormat="false" ht="15" hidden="false" customHeight="false" outlineLevel="0" collapsed="false">
      <c r="A154" s="101" t="s">
        <v>297</v>
      </c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3"/>
      <c r="M154" s="96" t="str">
        <f aca="false">IF(B154="","",COUNTIF(Conversas!$B$5:$B$500,A154&amp;"*"))</f>
        <v/>
      </c>
      <c r="N154" s="97" t="str">
        <f aca="false">IF(B154="","",IF(M154=0,"",_xlfn.MAXIFS(Conversas!$C$5:$C$500,Conversas!$B$5:$B$500,A154&amp;"*")))</f>
        <v/>
      </c>
      <c r="O154" s="104"/>
      <c r="P154" s="99" t="str">
        <f aca="true">IF(B154="","",IF(O154="","Sem data",IF(O154&lt;TODAY(),"⚠ Atrasado",IF(O154-TODAY()&lt;=7,"Esta semana","Agendado"))))</f>
        <v/>
      </c>
      <c r="Q154" s="96" t="str">
        <f aca="false">IF(B154="","",COUNTIF('Geral - Soluções'!$E$5:$E$500,A154&amp;"*")+COUNTIF('Mentoring - Soluções'!$E$5:$E$500,A154&amp;"*")+COUNTIF('Feira - Soluções'!$E$5:$E$500,A154&amp;"*")+COUNTIF('Inova - Soluções'!$E$5:$E$500,A154&amp;"*")+COUNTIF('Sensibilizando - Soluções'!$E$5:$E$500,A154&amp;"*"))</f>
        <v/>
      </c>
      <c r="R154" s="102"/>
      <c r="S154" s="100" t="str">
        <f aca="false">IF(B154="","",A154&amp;" · "&amp;B154)</f>
        <v/>
      </c>
    </row>
  </sheetData>
  <autoFilter ref="A4:S154"/>
  <mergeCells count="4">
    <mergeCell ref="A3:F3"/>
    <mergeCell ref="G3:J3"/>
    <mergeCell ref="K3:P3"/>
    <mergeCell ref="Q3:S3"/>
  </mergeCells>
  <conditionalFormatting sqref="A5:A500">
    <cfRule type="expression" priority="2" aboveAverage="0" equalAverage="0" bottom="0" percent="0" rank="0" text="" dxfId="13">
      <formula>$B5&lt;&gt;""</formula>
    </cfRule>
  </conditionalFormatting>
  <conditionalFormatting sqref="L5:L500">
    <cfRule type="expression" priority="3" aboveAverage="0" equalAverage="0" bottom="0" percent="0" rank="0" text="" dxfId="14">
      <formula>$L5="Parceria ativa"</formula>
    </cfRule>
    <cfRule type="expression" priority="4" aboveAverage="0" equalAverage="0" bottom="0" percent="0" rank="0" text="" dxfId="15">
      <formula>$L5="Parceria em negociação"</formula>
    </cfRule>
    <cfRule type="expression" priority="5" aboveAverage="0" equalAverage="0" bottom="0" percent="0" rank="0" text="" dxfId="16">
      <formula>$L5="Conversa realizada"</formula>
    </cfRule>
    <cfRule type="expression" priority="6" aboveAverage="0" equalAverage="0" bottom="0" percent="0" rank="0" text="" dxfId="17">
      <formula>$L5="Contato iniciado"</formula>
    </cfRule>
    <cfRule type="expression" priority="7" aboveAverage="0" equalAverage="0" bottom="0" percent="0" rank="0" text="" dxfId="18">
      <formula>$L5="Mapeada"</formula>
    </cfRule>
    <cfRule type="expression" priority="8" aboveAverage="0" equalAverage="0" bottom="0" percent="0" rank="0" text="" dxfId="19">
      <formula>$L5="Sem retorno"</formula>
    </cfRule>
  </conditionalFormatting>
  <conditionalFormatting sqref="P5:P500">
    <cfRule type="expression" priority="9" aboveAverage="0" equalAverage="0" bottom="0" percent="0" rank="0" text="" dxfId="20">
      <formula>ISNUMBER(SEARCH("Atrasado",$P5))</formula>
    </cfRule>
    <cfRule type="expression" priority="10" aboveAverage="0" equalAverage="0" bottom="0" percent="0" rank="0" text="" dxfId="21">
      <formula>$P5="Esta semana"</formula>
    </cfRule>
    <cfRule type="expression" priority="11" aboveAverage="0" equalAverage="0" bottom="0" percent="0" rank="0" text="" dxfId="16">
      <formula>$P5="Agendado"</formula>
    </cfRule>
    <cfRule type="expression" priority="12" aboveAverage="0" equalAverage="0" bottom="0" percent="0" rank="0" text="" dxfId="18">
      <formula>$P5="Sem data"</formula>
    </cfRule>
  </conditionalFormatting>
  <dataValidations count="4">
    <dataValidation allowBlank="true" error="Escolha uma opção da lista. As opções podem ser editadas na aba Listas." errorStyle="stop" errorTitle="Valor fora da lista" operator="between" showDropDown="false" showErrorMessage="true" showInputMessage="false" sqref="C5:C500" type="list">
      <formula1>lst_TipoOrg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G5:G500" type="list">
      <formula1>lst_ProjetoCEMP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lst_NivelRelacao</formula1>
      <formula2>0</formula2>
    </dataValidation>
    <dataValidation allowBlank="true" error="Digite uma data válida no formato dd/mm/aaaa." errorStyle="stop" errorTitle="Data inválida" operator="greaterThan" showDropDown="false" showErrorMessage="true" showInputMessage="false" sqref="O5:O500" type="date">
      <formula1>36526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70"/>
    <pageSetUpPr fitToPage="true"/>
  </sheetPr>
  <dimension ref="A1:K2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44"/>
    <col collapsed="false" customWidth="true" hidden="false" outlineLevel="0" max="7" min="7" style="0" width="48"/>
    <col collapsed="false" customWidth="true" hidden="false" outlineLevel="0" max="8" min="8" style="0" width="36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3"/>
  </cols>
  <sheetData>
    <row r="1" customFormat="false" ht="31.5" hidden="false" customHeight="true" outlineLevel="0" collapsed="false">
      <c r="A1" s="83" t="s">
        <v>298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84" t="s">
        <v>70</v>
      </c>
      <c r="B2" s="85" t="str">
        <f aca="false">"Diário de reuniões e conversas: o que aprendemos e o que fazer depois   ·   "&amp;COUNTA(B5:B500)&amp;" registro(s)"</f>
        <v>Diário de reuniões e conversas: o que aprendemos e o que fazer depois   ·   1 registro(s)</v>
      </c>
      <c r="C2" s="86"/>
      <c r="D2" s="86"/>
      <c r="E2" s="86"/>
      <c r="F2" s="86"/>
      <c r="G2" s="86"/>
      <c r="H2" s="86"/>
      <c r="I2" s="86"/>
      <c r="J2" s="86"/>
      <c r="K2" s="86"/>
    </row>
    <row r="3" customFormat="false" ht="16.5" hidden="false" customHeight="true" outlineLevel="0" collapsed="false">
      <c r="A3" s="87" t="s">
        <v>299</v>
      </c>
      <c r="B3" s="87"/>
      <c r="C3" s="87"/>
      <c r="D3" s="87"/>
      <c r="E3" s="87"/>
      <c r="F3" s="88" t="s">
        <v>300</v>
      </c>
      <c r="G3" s="88"/>
      <c r="H3" s="89" t="s">
        <v>301</v>
      </c>
      <c r="I3" s="89"/>
      <c r="J3" s="89"/>
      <c r="K3" s="89"/>
    </row>
    <row r="4" customFormat="false" ht="42" hidden="false" customHeight="true" outlineLevel="0" collapsed="false">
      <c r="A4" s="91" t="s">
        <v>118</v>
      </c>
      <c r="B4" s="91" t="s">
        <v>302</v>
      </c>
      <c r="C4" s="91" t="s">
        <v>303</v>
      </c>
      <c r="D4" s="91" t="s">
        <v>304</v>
      </c>
      <c r="E4" s="91" t="s">
        <v>305</v>
      </c>
      <c r="F4" s="91" t="s">
        <v>306</v>
      </c>
      <c r="G4" s="91" t="s">
        <v>307</v>
      </c>
      <c r="H4" s="91" t="s">
        <v>308</v>
      </c>
      <c r="I4" s="91" t="s">
        <v>309</v>
      </c>
      <c r="J4" s="91" t="s">
        <v>310</v>
      </c>
      <c r="K4" s="92" t="s">
        <v>311</v>
      </c>
    </row>
    <row r="5" customFormat="false" ht="23.85" hidden="false" customHeight="false" outlineLevel="0" collapsed="false">
      <c r="A5" s="93" t="s">
        <v>312</v>
      </c>
      <c r="B5" s="94" t="s">
        <v>313</v>
      </c>
      <c r="C5" s="98" t="n">
        <v>46290</v>
      </c>
      <c r="D5" s="95" t="s">
        <v>314</v>
      </c>
      <c r="E5" s="94" t="s">
        <v>315</v>
      </c>
      <c r="F5" s="94" t="s">
        <v>316</v>
      </c>
      <c r="G5" s="94" t="s">
        <v>317</v>
      </c>
      <c r="H5" s="94" t="s">
        <v>318</v>
      </c>
      <c r="I5" s="98" t="n">
        <v>46300</v>
      </c>
      <c r="J5" s="95" t="s">
        <v>319</v>
      </c>
      <c r="K5" s="99" t="str">
        <f aca="true">IF(B5="","",IF(J5="Concluído","✔ Concluído",IF(I5="","Sem prazo",IF(I5&lt;TODAY(),"⚠ Atrasado",IF(I5-TODAY()&lt;=7,"Esta semana","No prazo")))))</f>
        <v>Esta semana</v>
      </c>
    </row>
    <row r="6" customFormat="false" ht="15" hidden="false" customHeight="false" outlineLevel="0" collapsed="false">
      <c r="A6" s="101" t="s">
        <v>320</v>
      </c>
      <c r="B6" s="102"/>
      <c r="C6" s="104"/>
      <c r="D6" s="103"/>
      <c r="E6" s="102"/>
      <c r="F6" s="102"/>
      <c r="G6" s="102"/>
      <c r="H6" s="102"/>
      <c r="I6" s="104"/>
      <c r="J6" s="103"/>
      <c r="K6" s="99" t="str">
        <f aca="true">IF(B6="","",IF(J6="Concluído","✔ Concluído",IF(I6="","Sem prazo",IF(I6&lt;TODAY(),"⚠ Atrasado",IF(I6-TODAY()&lt;=7,"Esta semana","No prazo")))))</f>
        <v/>
      </c>
    </row>
    <row r="7" customFormat="false" ht="15" hidden="false" customHeight="false" outlineLevel="0" collapsed="false">
      <c r="A7" s="93" t="s">
        <v>321</v>
      </c>
      <c r="B7" s="105"/>
      <c r="C7" s="107"/>
      <c r="D7" s="106"/>
      <c r="E7" s="105"/>
      <c r="F7" s="105"/>
      <c r="G7" s="105"/>
      <c r="H7" s="105"/>
      <c r="I7" s="107"/>
      <c r="J7" s="106"/>
      <c r="K7" s="99" t="str">
        <f aca="true">IF(B7="","",IF(J7="Concluído","✔ Concluído",IF(I7="","Sem prazo",IF(I7&lt;TODAY(),"⚠ Atrasado",IF(I7-TODAY()&lt;=7,"Esta semana","No prazo")))))</f>
        <v/>
      </c>
    </row>
    <row r="8" customFormat="false" ht="15" hidden="false" customHeight="false" outlineLevel="0" collapsed="false">
      <c r="A8" s="101" t="s">
        <v>322</v>
      </c>
      <c r="B8" s="102"/>
      <c r="C8" s="104"/>
      <c r="D8" s="103"/>
      <c r="E8" s="102"/>
      <c r="F8" s="102"/>
      <c r="G8" s="102"/>
      <c r="H8" s="102"/>
      <c r="I8" s="104"/>
      <c r="J8" s="103"/>
      <c r="K8" s="99" t="str">
        <f aca="true">IF(B8="","",IF(J8="Concluído","✔ Concluído",IF(I8="","Sem prazo",IF(I8&lt;TODAY(),"⚠ Atrasado",IF(I8-TODAY()&lt;=7,"Esta semana","No prazo")))))</f>
        <v/>
      </c>
    </row>
    <row r="9" customFormat="false" ht="15" hidden="false" customHeight="false" outlineLevel="0" collapsed="false">
      <c r="A9" s="93" t="s">
        <v>323</v>
      </c>
      <c r="B9" s="105"/>
      <c r="C9" s="107"/>
      <c r="D9" s="106"/>
      <c r="E9" s="105"/>
      <c r="F9" s="105"/>
      <c r="G9" s="105"/>
      <c r="H9" s="105"/>
      <c r="I9" s="107"/>
      <c r="J9" s="106"/>
      <c r="K9" s="99" t="str">
        <f aca="true">IF(B9="","",IF(J9="Concluído","✔ Concluído",IF(I9="","Sem prazo",IF(I9&lt;TODAY(),"⚠ Atrasado",IF(I9-TODAY()&lt;=7,"Esta semana","No prazo")))))</f>
        <v/>
      </c>
    </row>
    <row r="10" customFormat="false" ht="15" hidden="false" customHeight="false" outlineLevel="0" collapsed="false">
      <c r="A10" s="101" t="s">
        <v>324</v>
      </c>
      <c r="B10" s="102"/>
      <c r="C10" s="104"/>
      <c r="D10" s="103"/>
      <c r="E10" s="102"/>
      <c r="F10" s="102"/>
      <c r="G10" s="102"/>
      <c r="H10" s="102"/>
      <c r="I10" s="104"/>
      <c r="J10" s="103"/>
      <c r="K10" s="99" t="str">
        <f aca="true">IF(B10="","",IF(J10="Concluído","✔ Concluído",IF(I10="","Sem prazo",IF(I10&lt;TODAY(),"⚠ Atrasado",IF(I10-TODAY()&lt;=7,"Esta semana","No prazo")))))</f>
        <v/>
      </c>
    </row>
    <row r="11" customFormat="false" ht="15" hidden="false" customHeight="false" outlineLevel="0" collapsed="false">
      <c r="A11" s="93" t="s">
        <v>325</v>
      </c>
      <c r="B11" s="105"/>
      <c r="C11" s="107"/>
      <c r="D11" s="106"/>
      <c r="E11" s="105"/>
      <c r="F11" s="105"/>
      <c r="G11" s="105"/>
      <c r="H11" s="105"/>
      <c r="I11" s="107"/>
      <c r="J11" s="106"/>
      <c r="K11" s="99" t="str">
        <f aca="true">IF(B11="","",IF(J11="Concluído","✔ Concluído",IF(I11="","Sem prazo",IF(I11&lt;TODAY(),"⚠ Atrasado",IF(I11-TODAY()&lt;=7,"Esta semana","No prazo")))))</f>
        <v/>
      </c>
    </row>
    <row r="12" customFormat="false" ht="15" hidden="false" customHeight="false" outlineLevel="0" collapsed="false">
      <c r="A12" s="101" t="s">
        <v>326</v>
      </c>
      <c r="B12" s="102"/>
      <c r="C12" s="104"/>
      <c r="D12" s="103"/>
      <c r="E12" s="102"/>
      <c r="F12" s="102"/>
      <c r="G12" s="102"/>
      <c r="H12" s="102"/>
      <c r="I12" s="104"/>
      <c r="J12" s="103"/>
      <c r="K12" s="99" t="str">
        <f aca="true">IF(B12="","",IF(J12="Concluído","✔ Concluído",IF(I12="","Sem prazo",IF(I12&lt;TODAY(),"⚠ Atrasado",IF(I12-TODAY()&lt;=7,"Esta semana","No prazo")))))</f>
        <v/>
      </c>
    </row>
    <row r="13" customFormat="false" ht="15" hidden="false" customHeight="false" outlineLevel="0" collapsed="false">
      <c r="A13" s="93" t="s">
        <v>327</v>
      </c>
      <c r="B13" s="105"/>
      <c r="C13" s="107"/>
      <c r="D13" s="106"/>
      <c r="E13" s="105"/>
      <c r="F13" s="105"/>
      <c r="G13" s="105"/>
      <c r="H13" s="105"/>
      <c r="I13" s="107"/>
      <c r="J13" s="106"/>
      <c r="K13" s="99" t="str">
        <f aca="true">IF(B13="","",IF(J13="Concluído","✔ Concluído",IF(I13="","Sem prazo",IF(I13&lt;TODAY(),"⚠ Atrasado",IF(I13-TODAY()&lt;=7,"Esta semana","No prazo")))))</f>
        <v/>
      </c>
    </row>
    <row r="14" customFormat="false" ht="15" hidden="false" customHeight="false" outlineLevel="0" collapsed="false">
      <c r="A14" s="101" t="s">
        <v>328</v>
      </c>
      <c r="B14" s="102"/>
      <c r="C14" s="104"/>
      <c r="D14" s="103"/>
      <c r="E14" s="102"/>
      <c r="F14" s="102"/>
      <c r="G14" s="102"/>
      <c r="H14" s="102"/>
      <c r="I14" s="104"/>
      <c r="J14" s="103"/>
      <c r="K14" s="99" t="str">
        <f aca="true">IF(B14="","",IF(J14="Concluído","✔ Concluído",IF(I14="","Sem prazo",IF(I14&lt;TODAY(),"⚠ Atrasado",IF(I14-TODAY()&lt;=7,"Esta semana","No prazo")))))</f>
        <v/>
      </c>
    </row>
    <row r="15" customFormat="false" ht="15" hidden="false" customHeight="false" outlineLevel="0" collapsed="false">
      <c r="A15" s="93" t="s">
        <v>329</v>
      </c>
      <c r="B15" s="105"/>
      <c r="C15" s="107"/>
      <c r="D15" s="106"/>
      <c r="E15" s="105"/>
      <c r="F15" s="105"/>
      <c r="G15" s="105"/>
      <c r="H15" s="105"/>
      <c r="I15" s="107"/>
      <c r="J15" s="106"/>
      <c r="K15" s="99" t="str">
        <f aca="true">IF(B15="","",IF(J15="Concluído","✔ Concluído",IF(I15="","Sem prazo",IF(I15&lt;TODAY(),"⚠ Atrasado",IF(I15-TODAY()&lt;=7,"Esta semana","No prazo")))))</f>
        <v/>
      </c>
    </row>
    <row r="16" customFormat="false" ht="15" hidden="false" customHeight="false" outlineLevel="0" collapsed="false">
      <c r="A16" s="101" t="s">
        <v>330</v>
      </c>
      <c r="B16" s="102"/>
      <c r="C16" s="104"/>
      <c r="D16" s="103"/>
      <c r="E16" s="102"/>
      <c r="F16" s="102"/>
      <c r="G16" s="102"/>
      <c r="H16" s="102"/>
      <c r="I16" s="104"/>
      <c r="J16" s="103"/>
      <c r="K16" s="99" t="str">
        <f aca="true">IF(B16="","",IF(J16="Concluído","✔ Concluído",IF(I16="","Sem prazo",IF(I16&lt;TODAY(),"⚠ Atrasado",IF(I16-TODAY()&lt;=7,"Esta semana","No prazo")))))</f>
        <v/>
      </c>
    </row>
    <row r="17" customFormat="false" ht="15" hidden="false" customHeight="false" outlineLevel="0" collapsed="false">
      <c r="A17" s="93" t="s">
        <v>331</v>
      </c>
      <c r="B17" s="105"/>
      <c r="C17" s="107"/>
      <c r="D17" s="106"/>
      <c r="E17" s="105"/>
      <c r="F17" s="105"/>
      <c r="G17" s="105"/>
      <c r="H17" s="105"/>
      <c r="I17" s="107"/>
      <c r="J17" s="106"/>
      <c r="K17" s="99" t="str">
        <f aca="true">IF(B17="","",IF(J17="Concluído","✔ Concluído",IF(I17="","Sem prazo",IF(I17&lt;TODAY(),"⚠ Atrasado",IF(I17-TODAY()&lt;=7,"Esta semana","No prazo")))))</f>
        <v/>
      </c>
    </row>
    <row r="18" customFormat="false" ht="15" hidden="false" customHeight="false" outlineLevel="0" collapsed="false">
      <c r="A18" s="101" t="s">
        <v>332</v>
      </c>
      <c r="B18" s="102"/>
      <c r="C18" s="104"/>
      <c r="D18" s="103"/>
      <c r="E18" s="102"/>
      <c r="F18" s="102"/>
      <c r="G18" s="102"/>
      <c r="H18" s="102"/>
      <c r="I18" s="104"/>
      <c r="J18" s="103"/>
      <c r="K18" s="99" t="str">
        <f aca="true">IF(B18="","",IF(J18="Concluído","✔ Concluído",IF(I18="","Sem prazo",IF(I18&lt;TODAY(),"⚠ Atrasado",IF(I18-TODAY()&lt;=7,"Esta semana","No prazo")))))</f>
        <v/>
      </c>
    </row>
    <row r="19" customFormat="false" ht="15" hidden="false" customHeight="false" outlineLevel="0" collapsed="false">
      <c r="A19" s="93" t="s">
        <v>333</v>
      </c>
      <c r="B19" s="105"/>
      <c r="C19" s="107"/>
      <c r="D19" s="106"/>
      <c r="E19" s="105"/>
      <c r="F19" s="105"/>
      <c r="G19" s="105"/>
      <c r="H19" s="105"/>
      <c r="I19" s="107"/>
      <c r="J19" s="106"/>
      <c r="K19" s="99" t="str">
        <f aca="true">IF(B19="","",IF(J19="Concluído","✔ Concluído",IF(I19="","Sem prazo",IF(I19&lt;TODAY(),"⚠ Atrasado",IF(I19-TODAY()&lt;=7,"Esta semana","No prazo")))))</f>
        <v/>
      </c>
    </row>
    <row r="20" customFormat="false" ht="15" hidden="false" customHeight="false" outlineLevel="0" collapsed="false">
      <c r="A20" s="101" t="s">
        <v>334</v>
      </c>
      <c r="B20" s="102"/>
      <c r="C20" s="104"/>
      <c r="D20" s="103"/>
      <c r="E20" s="102"/>
      <c r="F20" s="102"/>
      <c r="G20" s="102"/>
      <c r="H20" s="102"/>
      <c r="I20" s="104"/>
      <c r="J20" s="103"/>
      <c r="K20" s="99" t="str">
        <f aca="true">IF(B20="","",IF(J20="Concluído","✔ Concluído",IF(I20="","Sem prazo",IF(I20&lt;TODAY(),"⚠ Atrasado",IF(I20-TODAY()&lt;=7,"Esta semana","No prazo")))))</f>
        <v/>
      </c>
    </row>
    <row r="21" customFormat="false" ht="15" hidden="false" customHeight="false" outlineLevel="0" collapsed="false">
      <c r="A21" s="93" t="s">
        <v>335</v>
      </c>
      <c r="B21" s="105"/>
      <c r="C21" s="107"/>
      <c r="D21" s="106"/>
      <c r="E21" s="105"/>
      <c r="F21" s="105"/>
      <c r="G21" s="105"/>
      <c r="H21" s="105"/>
      <c r="I21" s="107"/>
      <c r="J21" s="106"/>
      <c r="K21" s="99" t="str">
        <f aca="true">IF(B21="","",IF(J21="Concluído","✔ Concluído",IF(I21="","Sem prazo",IF(I21&lt;TODAY(),"⚠ Atrasado",IF(I21-TODAY()&lt;=7,"Esta semana","No prazo")))))</f>
        <v/>
      </c>
    </row>
    <row r="22" customFormat="false" ht="15" hidden="false" customHeight="false" outlineLevel="0" collapsed="false">
      <c r="A22" s="101" t="s">
        <v>336</v>
      </c>
      <c r="B22" s="102"/>
      <c r="C22" s="104"/>
      <c r="D22" s="103"/>
      <c r="E22" s="102"/>
      <c r="F22" s="102"/>
      <c r="G22" s="102"/>
      <c r="H22" s="102"/>
      <c r="I22" s="104"/>
      <c r="J22" s="103"/>
      <c r="K22" s="99" t="str">
        <f aca="true">IF(B22="","",IF(J22="Concluído","✔ Concluído",IF(I22="","Sem prazo",IF(I22&lt;TODAY(),"⚠ Atrasado",IF(I22-TODAY()&lt;=7,"Esta semana","No prazo")))))</f>
        <v/>
      </c>
    </row>
    <row r="23" customFormat="false" ht="15" hidden="false" customHeight="false" outlineLevel="0" collapsed="false">
      <c r="A23" s="93" t="s">
        <v>337</v>
      </c>
      <c r="B23" s="105"/>
      <c r="C23" s="107"/>
      <c r="D23" s="106"/>
      <c r="E23" s="105"/>
      <c r="F23" s="105"/>
      <c r="G23" s="105"/>
      <c r="H23" s="105"/>
      <c r="I23" s="107"/>
      <c r="J23" s="106"/>
      <c r="K23" s="99" t="str">
        <f aca="true">IF(B23="","",IF(J23="Concluído","✔ Concluído",IF(I23="","Sem prazo",IF(I23&lt;TODAY(),"⚠ Atrasado",IF(I23-TODAY()&lt;=7,"Esta semana","No prazo")))))</f>
        <v/>
      </c>
    </row>
    <row r="24" customFormat="false" ht="15" hidden="false" customHeight="false" outlineLevel="0" collapsed="false">
      <c r="A24" s="101" t="s">
        <v>338</v>
      </c>
      <c r="B24" s="102"/>
      <c r="C24" s="104"/>
      <c r="D24" s="103"/>
      <c r="E24" s="102"/>
      <c r="F24" s="102"/>
      <c r="G24" s="102"/>
      <c r="H24" s="102"/>
      <c r="I24" s="104"/>
      <c r="J24" s="103"/>
      <c r="K24" s="99" t="str">
        <f aca="true">IF(B24="","",IF(J24="Concluído","✔ Concluído",IF(I24="","Sem prazo",IF(I24&lt;TODAY(),"⚠ Atrasado",IF(I24-TODAY()&lt;=7,"Esta semana","No prazo")))))</f>
        <v/>
      </c>
    </row>
    <row r="25" customFormat="false" ht="15" hidden="false" customHeight="false" outlineLevel="0" collapsed="false">
      <c r="A25" s="93" t="s">
        <v>339</v>
      </c>
      <c r="B25" s="105"/>
      <c r="C25" s="107"/>
      <c r="D25" s="106"/>
      <c r="E25" s="105"/>
      <c r="F25" s="105"/>
      <c r="G25" s="105"/>
      <c r="H25" s="105"/>
      <c r="I25" s="107"/>
      <c r="J25" s="106"/>
      <c r="K25" s="99" t="str">
        <f aca="true">IF(B25="","",IF(J25="Concluído","✔ Concluído",IF(I25="","Sem prazo",IF(I25&lt;TODAY(),"⚠ Atrasado",IF(I25-TODAY()&lt;=7,"Esta semana","No prazo")))))</f>
        <v/>
      </c>
    </row>
    <row r="26" customFormat="false" ht="15" hidden="false" customHeight="false" outlineLevel="0" collapsed="false">
      <c r="A26" s="101" t="s">
        <v>340</v>
      </c>
      <c r="B26" s="102"/>
      <c r="C26" s="104"/>
      <c r="D26" s="103"/>
      <c r="E26" s="102"/>
      <c r="F26" s="102"/>
      <c r="G26" s="102"/>
      <c r="H26" s="102"/>
      <c r="I26" s="104"/>
      <c r="J26" s="103"/>
      <c r="K26" s="99" t="str">
        <f aca="true">IF(B26="","",IF(J26="Concluído","✔ Concluído",IF(I26="","Sem prazo",IF(I26&lt;TODAY(),"⚠ Atrasado",IF(I26-TODAY()&lt;=7,"Esta semana","No prazo")))))</f>
        <v/>
      </c>
    </row>
    <row r="27" customFormat="false" ht="15" hidden="false" customHeight="false" outlineLevel="0" collapsed="false">
      <c r="A27" s="93" t="s">
        <v>341</v>
      </c>
      <c r="B27" s="105"/>
      <c r="C27" s="107"/>
      <c r="D27" s="106"/>
      <c r="E27" s="105"/>
      <c r="F27" s="105"/>
      <c r="G27" s="105"/>
      <c r="H27" s="105"/>
      <c r="I27" s="107"/>
      <c r="J27" s="106"/>
      <c r="K27" s="99" t="str">
        <f aca="true">IF(B27="","",IF(J27="Concluído","✔ Concluído",IF(I27="","Sem prazo",IF(I27&lt;TODAY(),"⚠ Atrasado",IF(I27-TODAY()&lt;=7,"Esta semana","No prazo")))))</f>
        <v/>
      </c>
    </row>
    <row r="28" customFormat="false" ht="15" hidden="false" customHeight="false" outlineLevel="0" collapsed="false">
      <c r="A28" s="101" t="s">
        <v>342</v>
      </c>
      <c r="B28" s="102"/>
      <c r="C28" s="104"/>
      <c r="D28" s="103"/>
      <c r="E28" s="102"/>
      <c r="F28" s="102"/>
      <c r="G28" s="102"/>
      <c r="H28" s="102"/>
      <c r="I28" s="104"/>
      <c r="J28" s="103"/>
      <c r="K28" s="99" t="str">
        <f aca="true">IF(B28="","",IF(J28="Concluído","✔ Concluído",IF(I28="","Sem prazo",IF(I28&lt;TODAY(),"⚠ Atrasado",IF(I28-TODAY()&lt;=7,"Esta semana","No prazo")))))</f>
        <v/>
      </c>
    </row>
    <row r="29" customFormat="false" ht="15" hidden="false" customHeight="false" outlineLevel="0" collapsed="false">
      <c r="A29" s="93" t="s">
        <v>343</v>
      </c>
      <c r="B29" s="105"/>
      <c r="C29" s="107"/>
      <c r="D29" s="106"/>
      <c r="E29" s="105"/>
      <c r="F29" s="105"/>
      <c r="G29" s="105"/>
      <c r="H29" s="105"/>
      <c r="I29" s="107"/>
      <c r="J29" s="106"/>
      <c r="K29" s="99" t="str">
        <f aca="true">IF(B29="","",IF(J29="Concluído","✔ Concluído",IF(I29="","Sem prazo",IF(I29&lt;TODAY(),"⚠ Atrasado",IF(I29-TODAY()&lt;=7,"Esta semana","No prazo")))))</f>
        <v/>
      </c>
    </row>
    <row r="30" customFormat="false" ht="15" hidden="false" customHeight="false" outlineLevel="0" collapsed="false">
      <c r="A30" s="101" t="s">
        <v>344</v>
      </c>
      <c r="B30" s="102"/>
      <c r="C30" s="104"/>
      <c r="D30" s="103"/>
      <c r="E30" s="102"/>
      <c r="F30" s="102"/>
      <c r="G30" s="102"/>
      <c r="H30" s="102"/>
      <c r="I30" s="104"/>
      <c r="J30" s="103"/>
      <c r="K30" s="99" t="str">
        <f aca="true">IF(B30="","",IF(J30="Concluído","✔ Concluído",IF(I30="","Sem prazo",IF(I30&lt;TODAY(),"⚠ Atrasado",IF(I30-TODAY()&lt;=7,"Esta semana","No prazo")))))</f>
        <v/>
      </c>
    </row>
    <row r="31" customFormat="false" ht="15" hidden="false" customHeight="false" outlineLevel="0" collapsed="false">
      <c r="A31" s="93" t="s">
        <v>345</v>
      </c>
      <c r="B31" s="105"/>
      <c r="C31" s="107"/>
      <c r="D31" s="106"/>
      <c r="E31" s="105"/>
      <c r="F31" s="105"/>
      <c r="G31" s="105"/>
      <c r="H31" s="105"/>
      <c r="I31" s="107"/>
      <c r="J31" s="106"/>
      <c r="K31" s="99" t="str">
        <f aca="true">IF(B31="","",IF(J31="Concluído","✔ Concluído",IF(I31="","Sem prazo",IF(I31&lt;TODAY(),"⚠ Atrasado",IF(I31-TODAY()&lt;=7,"Esta semana","No prazo")))))</f>
        <v/>
      </c>
    </row>
    <row r="32" customFormat="false" ht="15" hidden="false" customHeight="false" outlineLevel="0" collapsed="false">
      <c r="A32" s="101" t="s">
        <v>346</v>
      </c>
      <c r="B32" s="102"/>
      <c r="C32" s="104"/>
      <c r="D32" s="103"/>
      <c r="E32" s="102"/>
      <c r="F32" s="102"/>
      <c r="G32" s="102"/>
      <c r="H32" s="102"/>
      <c r="I32" s="104"/>
      <c r="J32" s="103"/>
      <c r="K32" s="99" t="str">
        <f aca="true">IF(B32="","",IF(J32="Concluído","✔ Concluído",IF(I32="","Sem prazo",IF(I32&lt;TODAY(),"⚠ Atrasado",IF(I32-TODAY()&lt;=7,"Esta semana","No prazo")))))</f>
        <v/>
      </c>
    </row>
    <row r="33" customFormat="false" ht="15" hidden="false" customHeight="false" outlineLevel="0" collapsed="false">
      <c r="A33" s="93" t="s">
        <v>347</v>
      </c>
      <c r="B33" s="105"/>
      <c r="C33" s="107"/>
      <c r="D33" s="106"/>
      <c r="E33" s="105"/>
      <c r="F33" s="105"/>
      <c r="G33" s="105"/>
      <c r="H33" s="105"/>
      <c r="I33" s="107"/>
      <c r="J33" s="106"/>
      <c r="K33" s="99" t="str">
        <f aca="true">IF(B33="","",IF(J33="Concluído","✔ Concluído",IF(I33="","Sem prazo",IF(I33&lt;TODAY(),"⚠ Atrasado",IF(I33-TODAY()&lt;=7,"Esta semana","No prazo")))))</f>
        <v/>
      </c>
    </row>
    <row r="34" customFormat="false" ht="15" hidden="false" customHeight="false" outlineLevel="0" collapsed="false">
      <c r="A34" s="101" t="s">
        <v>348</v>
      </c>
      <c r="B34" s="102"/>
      <c r="C34" s="104"/>
      <c r="D34" s="103"/>
      <c r="E34" s="102"/>
      <c r="F34" s="102"/>
      <c r="G34" s="102"/>
      <c r="H34" s="102"/>
      <c r="I34" s="104"/>
      <c r="J34" s="103"/>
      <c r="K34" s="99" t="str">
        <f aca="true">IF(B34="","",IF(J34="Concluído","✔ Concluído",IF(I34="","Sem prazo",IF(I34&lt;TODAY(),"⚠ Atrasado",IF(I34-TODAY()&lt;=7,"Esta semana","No prazo")))))</f>
        <v/>
      </c>
    </row>
    <row r="35" customFormat="false" ht="15" hidden="false" customHeight="false" outlineLevel="0" collapsed="false">
      <c r="A35" s="93" t="s">
        <v>349</v>
      </c>
      <c r="B35" s="105"/>
      <c r="C35" s="107"/>
      <c r="D35" s="106"/>
      <c r="E35" s="105"/>
      <c r="F35" s="105"/>
      <c r="G35" s="105"/>
      <c r="H35" s="105"/>
      <c r="I35" s="107"/>
      <c r="J35" s="106"/>
      <c r="K35" s="99" t="str">
        <f aca="true">IF(B35="","",IF(J35="Concluído","✔ Concluído",IF(I35="","Sem prazo",IF(I35&lt;TODAY(),"⚠ Atrasado",IF(I35-TODAY()&lt;=7,"Esta semana","No prazo")))))</f>
        <v/>
      </c>
    </row>
    <row r="36" customFormat="false" ht="15" hidden="false" customHeight="false" outlineLevel="0" collapsed="false">
      <c r="A36" s="101" t="s">
        <v>350</v>
      </c>
      <c r="B36" s="102"/>
      <c r="C36" s="104"/>
      <c r="D36" s="103"/>
      <c r="E36" s="102"/>
      <c r="F36" s="102"/>
      <c r="G36" s="102"/>
      <c r="H36" s="102"/>
      <c r="I36" s="104"/>
      <c r="J36" s="103"/>
      <c r="K36" s="99" t="str">
        <f aca="true">IF(B36="","",IF(J36="Concluído","✔ Concluído",IF(I36="","Sem prazo",IF(I36&lt;TODAY(),"⚠ Atrasado",IF(I36-TODAY()&lt;=7,"Esta semana","No prazo")))))</f>
        <v/>
      </c>
    </row>
    <row r="37" customFormat="false" ht="15" hidden="false" customHeight="false" outlineLevel="0" collapsed="false">
      <c r="A37" s="93" t="s">
        <v>351</v>
      </c>
      <c r="B37" s="105"/>
      <c r="C37" s="107"/>
      <c r="D37" s="106"/>
      <c r="E37" s="105"/>
      <c r="F37" s="105"/>
      <c r="G37" s="105"/>
      <c r="H37" s="105"/>
      <c r="I37" s="107"/>
      <c r="J37" s="106"/>
      <c r="K37" s="99" t="str">
        <f aca="true">IF(B37="","",IF(J37="Concluído","✔ Concluído",IF(I37="","Sem prazo",IF(I37&lt;TODAY(),"⚠ Atrasado",IF(I37-TODAY()&lt;=7,"Esta semana","No prazo")))))</f>
        <v/>
      </c>
    </row>
    <row r="38" customFormat="false" ht="15" hidden="false" customHeight="false" outlineLevel="0" collapsed="false">
      <c r="A38" s="101" t="s">
        <v>352</v>
      </c>
      <c r="B38" s="102"/>
      <c r="C38" s="104"/>
      <c r="D38" s="103"/>
      <c r="E38" s="102"/>
      <c r="F38" s="102"/>
      <c r="G38" s="102"/>
      <c r="H38" s="102"/>
      <c r="I38" s="104"/>
      <c r="J38" s="103"/>
      <c r="K38" s="99" t="str">
        <f aca="true">IF(B38="","",IF(J38="Concluído","✔ Concluído",IF(I38="","Sem prazo",IF(I38&lt;TODAY(),"⚠ Atrasado",IF(I38-TODAY()&lt;=7,"Esta semana","No prazo")))))</f>
        <v/>
      </c>
    </row>
    <row r="39" customFormat="false" ht="15" hidden="false" customHeight="false" outlineLevel="0" collapsed="false">
      <c r="A39" s="93" t="s">
        <v>353</v>
      </c>
      <c r="B39" s="105"/>
      <c r="C39" s="107"/>
      <c r="D39" s="106"/>
      <c r="E39" s="105"/>
      <c r="F39" s="105"/>
      <c r="G39" s="105"/>
      <c r="H39" s="105"/>
      <c r="I39" s="107"/>
      <c r="J39" s="106"/>
      <c r="K39" s="99" t="str">
        <f aca="true">IF(B39="","",IF(J39="Concluído","✔ Concluído",IF(I39="","Sem prazo",IF(I39&lt;TODAY(),"⚠ Atrasado",IF(I39-TODAY()&lt;=7,"Esta semana","No prazo")))))</f>
        <v/>
      </c>
    </row>
    <row r="40" customFormat="false" ht="15" hidden="false" customHeight="false" outlineLevel="0" collapsed="false">
      <c r="A40" s="101" t="s">
        <v>354</v>
      </c>
      <c r="B40" s="102"/>
      <c r="C40" s="104"/>
      <c r="D40" s="103"/>
      <c r="E40" s="102"/>
      <c r="F40" s="102"/>
      <c r="G40" s="102"/>
      <c r="H40" s="102"/>
      <c r="I40" s="104"/>
      <c r="J40" s="103"/>
      <c r="K40" s="99" t="str">
        <f aca="true">IF(B40="","",IF(J40="Concluído","✔ Concluído",IF(I40="","Sem prazo",IF(I40&lt;TODAY(),"⚠ Atrasado",IF(I40-TODAY()&lt;=7,"Esta semana","No prazo")))))</f>
        <v/>
      </c>
    </row>
    <row r="41" customFormat="false" ht="15" hidden="false" customHeight="false" outlineLevel="0" collapsed="false">
      <c r="A41" s="93" t="s">
        <v>355</v>
      </c>
      <c r="B41" s="105"/>
      <c r="C41" s="107"/>
      <c r="D41" s="106"/>
      <c r="E41" s="105"/>
      <c r="F41" s="105"/>
      <c r="G41" s="105"/>
      <c r="H41" s="105"/>
      <c r="I41" s="107"/>
      <c r="J41" s="106"/>
      <c r="K41" s="99" t="str">
        <f aca="true">IF(B41="","",IF(J41="Concluído","✔ Concluído",IF(I41="","Sem prazo",IF(I41&lt;TODAY(),"⚠ Atrasado",IF(I41-TODAY()&lt;=7,"Esta semana","No prazo")))))</f>
        <v/>
      </c>
    </row>
    <row r="42" customFormat="false" ht="15" hidden="false" customHeight="false" outlineLevel="0" collapsed="false">
      <c r="A42" s="101" t="s">
        <v>356</v>
      </c>
      <c r="B42" s="102"/>
      <c r="C42" s="104"/>
      <c r="D42" s="103"/>
      <c r="E42" s="102"/>
      <c r="F42" s="102"/>
      <c r="G42" s="102"/>
      <c r="H42" s="102"/>
      <c r="I42" s="104"/>
      <c r="J42" s="103"/>
      <c r="K42" s="99" t="str">
        <f aca="true">IF(B42="","",IF(J42="Concluído","✔ Concluído",IF(I42="","Sem prazo",IF(I42&lt;TODAY(),"⚠ Atrasado",IF(I42-TODAY()&lt;=7,"Esta semana","No prazo")))))</f>
        <v/>
      </c>
    </row>
    <row r="43" customFormat="false" ht="15" hidden="false" customHeight="false" outlineLevel="0" collapsed="false">
      <c r="A43" s="93" t="s">
        <v>357</v>
      </c>
      <c r="B43" s="105"/>
      <c r="C43" s="107"/>
      <c r="D43" s="106"/>
      <c r="E43" s="105"/>
      <c r="F43" s="105"/>
      <c r="G43" s="105"/>
      <c r="H43" s="105"/>
      <c r="I43" s="107"/>
      <c r="J43" s="106"/>
      <c r="K43" s="99" t="str">
        <f aca="true">IF(B43="","",IF(J43="Concluído","✔ Concluído",IF(I43="","Sem prazo",IF(I43&lt;TODAY(),"⚠ Atrasado",IF(I43-TODAY()&lt;=7,"Esta semana","No prazo")))))</f>
        <v/>
      </c>
    </row>
    <row r="44" customFormat="false" ht="15" hidden="false" customHeight="false" outlineLevel="0" collapsed="false">
      <c r="A44" s="101" t="s">
        <v>358</v>
      </c>
      <c r="B44" s="102"/>
      <c r="C44" s="104"/>
      <c r="D44" s="103"/>
      <c r="E44" s="102"/>
      <c r="F44" s="102"/>
      <c r="G44" s="102"/>
      <c r="H44" s="102"/>
      <c r="I44" s="104"/>
      <c r="J44" s="103"/>
      <c r="K44" s="99" t="str">
        <f aca="true">IF(B44="","",IF(J44="Concluído","✔ Concluído",IF(I44="","Sem prazo",IF(I44&lt;TODAY(),"⚠ Atrasado",IF(I44-TODAY()&lt;=7,"Esta semana","No prazo")))))</f>
        <v/>
      </c>
    </row>
    <row r="45" customFormat="false" ht="15" hidden="false" customHeight="false" outlineLevel="0" collapsed="false">
      <c r="A45" s="93" t="s">
        <v>359</v>
      </c>
      <c r="B45" s="105"/>
      <c r="C45" s="107"/>
      <c r="D45" s="106"/>
      <c r="E45" s="105"/>
      <c r="F45" s="105"/>
      <c r="G45" s="105"/>
      <c r="H45" s="105"/>
      <c r="I45" s="107"/>
      <c r="J45" s="106"/>
      <c r="K45" s="99" t="str">
        <f aca="true">IF(B45="","",IF(J45="Concluído","✔ Concluído",IF(I45="","Sem prazo",IF(I45&lt;TODAY(),"⚠ Atrasado",IF(I45-TODAY()&lt;=7,"Esta semana","No prazo")))))</f>
        <v/>
      </c>
    </row>
    <row r="46" customFormat="false" ht="15" hidden="false" customHeight="false" outlineLevel="0" collapsed="false">
      <c r="A46" s="101" t="s">
        <v>360</v>
      </c>
      <c r="B46" s="102"/>
      <c r="C46" s="104"/>
      <c r="D46" s="103"/>
      <c r="E46" s="102"/>
      <c r="F46" s="102"/>
      <c r="G46" s="102"/>
      <c r="H46" s="102"/>
      <c r="I46" s="104"/>
      <c r="J46" s="103"/>
      <c r="K46" s="99" t="str">
        <f aca="true">IF(B46="","",IF(J46="Concluído","✔ Concluído",IF(I46="","Sem prazo",IF(I46&lt;TODAY(),"⚠ Atrasado",IF(I46-TODAY()&lt;=7,"Esta semana","No prazo")))))</f>
        <v/>
      </c>
    </row>
    <row r="47" customFormat="false" ht="15" hidden="false" customHeight="false" outlineLevel="0" collapsed="false">
      <c r="A47" s="93" t="s">
        <v>361</v>
      </c>
      <c r="B47" s="105"/>
      <c r="C47" s="107"/>
      <c r="D47" s="106"/>
      <c r="E47" s="105"/>
      <c r="F47" s="105"/>
      <c r="G47" s="105"/>
      <c r="H47" s="105"/>
      <c r="I47" s="107"/>
      <c r="J47" s="106"/>
      <c r="K47" s="99" t="str">
        <f aca="true">IF(B47="","",IF(J47="Concluído","✔ Concluído",IF(I47="","Sem prazo",IF(I47&lt;TODAY(),"⚠ Atrasado",IF(I47-TODAY()&lt;=7,"Esta semana","No prazo")))))</f>
        <v/>
      </c>
    </row>
    <row r="48" customFormat="false" ht="15" hidden="false" customHeight="false" outlineLevel="0" collapsed="false">
      <c r="A48" s="101" t="s">
        <v>362</v>
      </c>
      <c r="B48" s="102"/>
      <c r="C48" s="104"/>
      <c r="D48" s="103"/>
      <c r="E48" s="102"/>
      <c r="F48" s="102"/>
      <c r="G48" s="102"/>
      <c r="H48" s="102"/>
      <c r="I48" s="104"/>
      <c r="J48" s="103"/>
      <c r="K48" s="99" t="str">
        <f aca="true">IF(B48="","",IF(J48="Concluído","✔ Concluído",IF(I48="","Sem prazo",IF(I48&lt;TODAY(),"⚠ Atrasado",IF(I48-TODAY()&lt;=7,"Esta semana","No prazo")))))</f>
        <v/>
      </c>
    </row>
    <row r="49" customFormat="false" ht="15" hidden="false" customHeight="false" outlineLevel="0" collapsed="false">
      <c r="A49" s="93" t="s">
        <v>363</v>
      </c>
      <c r="B49" s="105"/>
      <c r="C49" s="107"/>
      <c r="D49" s="106"/>
      <c r="E49" s="105"/>
      <c r="F49" s="105"/>
      <c r="G49" s="105"/>
      <c r="H49" s="105"/>
      <c r="I49" s="107"/>
      <c r="J49" s="106"/>
      <c r="K49" s="99" t="str">
        <f aca="true">IF(B49="","",IF(J49="Concluído","✔ Concluído",IF(I49="","Sem prazo",IF(I49&lt;TODAY(),"⚠ Atrasado",IF(I49-TODAY()&lt;=7,"Esta semana","No prazo")))))</f>
        <v/>
      </c>
    </row>
    <row r="50" customFormat="false" ht="15" hidden="false" customHeight="false" outlineLevel="0" collapsed="false">
      <c r="A50" s="101" t="s">
        <v>364</v>
      </c>
      <c r="B50" s="102"/>
      <c r="C50" s="104"/>
      <c r="D50" s="103"/>
      <c r="E50" s="102"/>
      <c r="F50" s="102"/>
      <c r="G50" s="102"/>
      <c r="H50" s="102"/>
      <c r="I50" s="104"/>
      <c r="J50" s="103"/>
      <c r="K50" s="99" t="str">
        <f aca="true">IF(B50="","",IF(J50="Concluído","✔ Concluído",IF(I50="","Sem prazo",IF(I50&lt;TODAY(),"⚠ Atrasado",IF(I50-TODAY()&lt;=7,"Esta semana","No prazo")))))</f>
        <v/>
      </c>
    </row>
    <row r="51" customFormat="false" ht="15" hidden="false" customHeight="false" outlineLevel="0" collapsed="false">
      <c r="A51" s="93" t="s">
        <v>365</v>
      </c>
      <c r="B51" s="105"/>
      <c r="C51" s="107"/>
      <c r="D51" s="106"/>
      <c r="E51" s="105"/>
      <c r="F51" s="105"/>
      <c r="G51" s="105"/>
      <c r="H51" s="105"/>
      <c r="I51" s="107"/>
      <c r="J51" s="106"/>
      <c r="K51" s="99" t="str">
        <f aca="true">IF(B51="","",IF(J51="Concluído","✔ Concluído",IF(I51="","Sem prazo",IF(I51&lt;TODAY(),"⚠ Atrasado",IF(I51-TODAY()&lt;=7,"Esta semana","No prazo")))))</f>
        <v/>
      </c>
    </row>
    <row r="52" customFormat="false" ht="15" hidden="false" customHeight="false" outlineLevel="0" collapsed="false">
      <c r="A52" s="101" t="s">
        <v>366</v>
      </c>
      <c r="B52" s="102"/>
      <c r="C52" s="104"/>
      <c r="D52" s="103"/>
      <c r="E52" s="102"/>
      <c r="F52" s="102"/>
      <c r="G52" s="102"/>
      <c r="H52" s="102"/>
      <c r="I52" s="104"/>
      <c r="J52" s="103"/>
      <c r="K52" s="99" t="str">
        <f aca="true">IF(B52="","",IF(J52="Concluído","✔ Concluído",IF(I52="","Sem prazo",IF(I52&lt;TODAY(),"⚠ Atrasado",IF(I52-TODAY()&lt;=7,"Esta semana","No prazo")))))</f>
        <v/>
      </c>
    </row>
    <row r="53" customFormat="false" ht="15" hidden="false" customHeight="false" outlineLevel="0" collapsed="false">
      <c r="A53" s="93" t="s">
        <v>367</v>
      </c>
      <c r="B53" s="105"/>
      <c r="C53" s="107"/>
      <c r="D53" s="106"/>
      <c r="E53" s="105"/>
      <c r="F53" s="105"/>
      <c r="G53" s="105"/>
      <c r="H53" s="105"/>
      <c r="I53" s="107"/>
      <c r="J53" s="106"/>
      <c r="K53" s="99" t="str">
        <f aca="true">IF(B53="","",IF(J53="Concluído","✔ Concluído",IF(I53="","Sem prazo",IF(I53&lt;TODAY(),"⚠ Atrasado",IF(I53-TODAY()&lt;=7,"Esta semana","No prazo")))))</f>
        <v/>
      </c>
    </row>
    <row r="54" customFormat="false" ht="15" hidden="false" customHeight="false" outlineLevel="0" collapsed="false">
      <c r="A54" s="101" t="s">
        <v>368</v>
      </c>
      <c r="B54" s="102"/>
      <c r="C54" s="104"/>
      <c r="D54" s="103"/>
      <c r="E54" s="102"/>
      <c r="F54" s="102"/>
      <c r="G54" s="102"/>
      <c r="H54" s="102"/>
      <c r="I54" s="104"/>
      <c r="J54" s="103"/>
      <c r="K54" s="99" t="str">
        <f aca="true">IF(B54="","",IF(J54="Concluído","✔ Concluído",IF(I54="","Sem prazo",IF(I54&lt;TODAY(),"⚠ Atrasado",IF(I54-TODAY()&lt;=7,"Esta semana","No prazo")))))</f>
        <v/>
      </c>
    </row>
    <row r="55" customFormat="false" ht="15" hidden="false" customHeight="false" outlineLevel="0" collapsed="false">
      <c r="A55" s="93" t="s">
        <v>369</v>
      </c>
      <c r="B55" s="105"/>
      <c r="C55" s="107"/>
      <c r="D55" s="106"/>
      <c r="E55" s="105"/>
      <c r="F55" s="105"/>
      <c r="G55" s="105"/>
      <c r="H55" s="105"/>
      <c r="I55" s="107"/>
      <c r="J55" s="106"/>
      <c r="K55" s="99" t="str">
        <f aca="true">IF(B55="","",IF(J55="Concluído","✔ Concluído",IF(I55="","Sem prazo",IF(I55&lt;TODAY(),"⚠ Atrasado",IF(I55-TODAY()&lt;=7,"Esta semana","No prazo")))))</f>
        <v/>
      </c>
    </row>
    <row r="56" customFormat="false" ht="15" hidden="false" customHeight="false" outlineLevel="0" collapsed="false">
      <c r="A56" s="101" t="s">
        <v>370</v>
      </c>
      <c r="B56" s="102"/>
      <c r="C56" s="104"/>
      <c r="D56" s="103"/>
      <c r="E56" s="102"/>
      <c r="F56" s="102"/>
      <c r="G56" s="102"/>
      <c r="H56" s="102"/>
      <c r="I56" s="104"/>
      <c r="J56" s="103"/>
      <c r="K56" s="99" t="str">
        <f aca="true">IF(B56="","",IF(J56="Concluído","✔ Concluído",IF(I56="","Sem prazo",IF(I56&lt;TODAY(),"⚠ Atrasado",IF(I56-TODAY()&lt;=7,"Esta semana","No prazo")))))</f>
        <v/>
      </c>
    </row>
    <row r="57" customFormat="false" ht="15" hidden="false" customHeight="false" outlineLevel="0" collapsed="false">
      <c r="A57" s="93" t="s">
        <v>371</v>
      </c>
      <c r="B57" s="105"/>
      <c r="C57" s="107"/>
      <c r="D57" s="106"/>
      <c r="E57" s="105"/>
      <c r="F57" s="105"/>
      <c r="G57" s="105"/>
      <c r="H57" s="105"/>
      <c r="I57" s="107"/>
      <c r="J57" s="106"/>
      <c r="K57" s="99" t="str">
        <f aca="true">IF(B57="","",IF(J57="Concluído","✔ Concluído",IF(I57="","Sem prazo",IF(I57&lt;TODAY(),"⚠ Atrasado",IF(I57-TODAY()&lt;=7,"Esta semana","No prazo")))))</f>
        <v/>
      </c>
    </row>
    <row r="58" customFormat="false" ht="15" hidden="false" customHeight="false" outlineLevel="0" collapsed="false">
      <c r="A58" s="101" t="s">
        <v>372</v>
      </c>
      <c r="B58" s="102"/>
      <c r="C58" s="104"/>
      <c r="D58" s="103"/>
      <c r="E58" s="102"/>
      <c r="F58" s="102"/>
      <c r="G58" s="102"/>
      <c r="H58" s="102"/>
      <c r="I58" s="104"/>
      <c r="J58" s="103"/>
      <c r="K58" s="99" t="str">
        <f aca="true">IF(B58="","",IF(J58="Concluído","✔ Concluído",IF(I58="","Sem prazo",IF(I58&lt;TODAY(),"⚠ Atrasado",IF(I58-TODAY()&lt;=7,"Esta semana","No prazo")))))</f>
        <v/>
      </c>
    </row>
    <row r="59" customFormat="false" ht="15" hidden="false" customHeight="false" outlineLevel="0" collapsed="false">
      <c r="A59" s="93" t="s">
        <v>373</v>
      </c>
      <c r="B59" s="105"/>
      <c r="C59" s="107"/>
      <c r="D59" s="106"/>
      <c r="E59" s="105"/>
      <c r="F59" s="105"/>
      <c r="G59" s="105"/>
      <c r="H59" s="105"/>
      <c r="I59" s="107"/>
      <c r="J59" s="106"/>
      <c r="K59" s="99" t="str">
        <f aca="true">IF(B59="","",IF(J59="Concluído","✔ Concluído",IF(I59="","Sem prazo",IF(I59&lt;TODAY(),"⚠ Atrasado",IF(I59-TODAY()&lt;=7,"Esta semana","No prazo")))))</f>
        <v/>
      </c>
    </row>
    <row r="60" customFormat="false" ht="15" hidden="false" customHeight="false" outlineLevel="0" collapsed="false">
      <c r="A60" s="101" t="s">
        <v>374</v>
      </c>
      <c r="B60" s="102"/>
      <c r="C60" s="104"/>
      <c r="D60" s="103"/>
      <c r="E60" s="102"/>
      <c r="F60" s="102"/>
      <c r="G60" s="102"/>
      <c r="H60" s="102"/>
      <c r="I60" s="104"/>
      <c r="J60" s="103"/>
      <c r="K60" s="99" t="str">
        <f aca="true">IF(B60="","",IF(J60="Concluído","✔ Concluído",IF(I60="","Sem prazo",IF(I60&lt;TODAY(),"⚠ Atrasado",IF(I60-TODAY()&lt;=7,"Esta semana","No prazo")))))</f>
        <v/>
      </c>
    </row>
    <row r="61" customFormat="false" ht="15" hidden="false" customHeight="false" outlineLevel="0" collapsed="false">
      <c r="A61" s="93" t="s">
        <v>375</v>
      </c>
      <c r="B61" s="105"/>
      <c r="C61" s="107"/>
      <c r="D61" s="106"/>
      <c r="E61" s="105"/>
      <c r="F61" s="105"/>
      <c r="G61" s="105"/>
      <c r="H61" s="105"/>
      <c r="I61" s="107"/>
      <c r="J61" s="106"/>
      <c r="K61" s="99" t="str">
        <f aca="true">IF(B61="","",IF(J61="Concluído","✔ Concluído",IF(I61="","Sem prazo",IF(I61&lt;TODAY(),"⚠ Atrasado",IF(I61-TODAY()&lt;=7,"Esta semana","No prazo")))))</f>
        <v/>
      </c>
    </row>
    <row r="62" customFormat="false" ht="15" hidden="false" customHeight="false" outlineLevel="0" collapsed="false">
      <c r="A62" s="101" t="s">
        <v>376</v>
      </c>
      <c r="B62" s="102"/>
      <c r="C62" s="104"/>
      <c r="D62" s="103"/>
      <c r="E62" s="102"/>
      <c r="F62" s="102"/>
      <c r="G62" s="102"/>
      <c r="H62" s="102"/>
      <c r="I62" s="104"/>
      <c r="J62" s="103"/>
      <c r="K62" s="99" t="str">
        <f aca="true">IF(B62="","",IF(J62="Concluído","✔ Concluído",IF(I62="","Sem prazo",IF(I62&lt;TODAY(),"⚠ Atrasado",IF(I62-TODAY()&lt;=7,"Esta semana","No prazo")))))</f>
        <v/>
      </c>
    </row>
    <row r="63" customFormat="false" ht="15" hidden="false" customHeight="false" outlineLevel="0" collapsed="false">
      <c r="A63" s="93" t="s">
        <v>377</v>
      </c>
      <c r="B63" s="105"/>
      <c r="C63" s="107"/>
      <c r="D63" s="106"/>
      <c r="E63" s="105"/>
      <c r="F63" s="105"/>
      <c r="G63" s="105"/>
      <c r="H63" s="105"/>
      <c r="I63" s="107"/>
      <c r="J63" s="106"/>
      <c r="K63" s="99" t="str">
        <f aca="true">IF(B63="","",IF(J63="Concluído","✔ Concluído",IF(I63="","Sem prazo",IF(I63&lt;TODAY(),"⚠ Atrasado",IF(I63-TODAY()&lt;=7,"Esta semana","No prazo")))))</f>
        <v/>
      </c>
    </row>
    <row r="64" customFormat="false" ht="15" hidden="false" customHeight="false" outlineLevel="0" collapsed="false">
      <c r="A64" s="101" t="s">
        <v>378</v>
      </c>
      <c r="B64" s="102"/>
      <c r="C64" s="104"/>
      <c r="D64" s="103"/>
      <c r="E64" s="102"/>
      <c r="F64" s="102"/>
      <c r="G64" s="102"/>
      <c r="H64" s="102"/>
      <c r="I64" s="104"/>
      <c r="J64" s="103"/>
      <c r="K64" s="99" t="str">
        <f aca="true">IF(B64="","",IF(J64="Concluído","✔ Concluído",IF(I64="","Sem prazo",IF(I64&lt;TODAY(),"⚠ Atrasado",IF(I64-TODAY()&lt;=7,"Esta semana","No prazo")))))</f>
        <v/>
      </c>
    </row>
    <row r="65" customFormat="false" ht="15" hidden="false" customHeight="false" outlineLevel="0" collapsed="false">
      <c r="A65" s="93" t="s">
        <v>379</v>
      </c>
      <c r="B65" s="105"/>
      <c r="C65" s="107"/>
      <c r="D65" s="106"/>
      <c r="E65" s="105"/>
      <c r="F65" s="105"/>
      <c r="G65" s="105"/>
      <c r="H65" s="105"/>
      <c r="I65" s="107"/>
      <c r="J65" s="106"/>
      <c r="K65" s="99" t="str">
        <f aca="true">IF(B65="","",IF(J65="Concluído","✔ Concluído",IF(I65="","Sem prazo",IF(I65&lt;TODAY(),"⚠ Atrasado",IF(I65-TODAY()&lt;=7,"Esta semana","No prazo")))))</f>
        <v/>
      </c>
    </row>
    <row r="66" customFormat="false" ht="15" hidden="false" customHeight="false" outlineLevel="0" collapsed="false">
      <c r="A66" s="101" t="s">
        <v>380</v>
      </c>
      <c r="B66" s="102"/>
      <c r="C66" s="104"/>
      <c r="D66" s="103"/>
      <c r="E66" s="102"/>
      <c r="F66" s="102"/>
      <c r="G66" s="102"/>
      <c r="H66" s="102"/>
      <c r="I66" s="104"/>
      <c r="J66" s="103"/>
      <c r="K66" s="99" t="str">
        <f aca="true">IF(B66="","",IF(J66="Concluído","✔ Concluído",IF(I66="","Sem prazo",IF(I66&lt;TODAY(),"⚠ Atrasado",IF(I66-TODAY()&lt;=7,"Esta semana","No prazo")))))</f>
        <v/>
      </c>
    </row>
    <row r="67" customFormat="false" ht="15" hidden="false" customHeight="false" outlineLevel="0" collapsed="false">
      <c r="A67" s="93" t="s">
        <v>381</v>
      </c>
      <c r="B67" s="105"/>
      <c r="C67" s="107"/>
      <c r="D67" s="106"/>
      <c r="E67" s="105"/>
      <c r="F67" s="105"/>
      <c r="G67" s="105"/>
      <c r="H67" s="105"/>
      <c r="I67" s="107"/>
      <c r="J67" s="106"/>
      <c r="K67" s="99" t="str">
        <f aca="true">IF(B67="","",IF(J67="Concluído","✔ Concluído",IF(I67="","Sem prazo",IF(I67&lt;TODAY(),"⚠ Atrasado",IF(I67-TODAY()&lt;=7,"Esta semana","No prazo")))))</f>
        <v/>
      </c>
    </row>
    <row r="68" customFormat="false" ht="15" hidden="false" customHeight="false" outlineLevel="0" collapsed="false">
      <c r="A68" s="101" t="s">
        <v>382</v>
      </c>
      <c r="B68" s="102"/>
      <c r="C68" s="104"/>
      <c r="D68" s="103"/>
      <c r="E68" s="102"/>
      <c r="F68" s="102"/>
      <c r="G68" s="102"/>
      <c r="H68" s="102"/>
      <c r="I68" s="104"/>
      <c r="J68" s="103"/>
      <c r="K68" s="99" t="str">
        <f aca="true">IF(B68="","",IF(J68="Concluído","✔ Concluído",IF(I68="","Sem prazo",IF(I68&lt;TODAY(),"⚠ Atrasado",IF(I68-TODAY()&lt;=7,"Esta semana","No prazo")))))</f>
        <v/>
      </c>
    </row>
    <row r="69" customFormat="false" ht="15" hidden="false" customHeight="false" outlineLevel="0" collapsed="false">
      <c r="A69" s="93" t="s">
        <v>383</v>
      </c>
      <c r="B69" s="105"/>
      <c r="C69" s="107"/>
      <c r="D69" s="106"/>
      <c r="E69" s="105"/>
      <c r="F69" s="105"/>
      <c r="G69" s="105"/>
      <c r="H69" s="105"/>
      <c r="I69" s="107"/>
      <c r="J69" s="106"/>
      <c r="K69" s="99" t="str">
        <f aca="true">IF(B69="","",IF(J69="Concluído","✔ Concluído",IF(I69="","Sem prazo",IF(I69&lt;TODAY(),"⚠ Atrasado",IF(I69-TODAY()&lt;=7,"Esta semana","No prazo")))))</f>
        <v/>
      </c>
    </row>
    <row r="70" customFormat="false" ht="15" hidden="false" customHeight="false" outlineLevel="0" collapsed="false">
      <c r="A70" s="101" t="s">
        <v>384</v>
      </c>
      <c r="B70" s="102"/>
      <c r="C70" s="104"/>
      <c r="D70" s="103"/>
      <c r="E70" s="102"/>
      <c r="F70" s="102"/>
      <c r="G70" s="102"/>
      <c r="H70" s="102"/>
      <c r="I70" s="104"/>
      <c r="J70" s="103"/>
      <c r="K70" s="99" t="str">
        <f aca="true">IF(B70="","",IF(J70="Concluído","✔ Concluído",IF(I70="","Sem prazo",IF(I70&lt;TODAY(),"⚠ Atrasado",IF(I70-TODAY()&lt;=7,"Esta semana","No prazo")))))</f>
        <v/>
      </c>
    </row>
    <row r="71" customFormat="false" ht="15" hidden="false" customHeight="false" outlineLevel="0" collapsed="false">
      <c r="A71" s="93" t="s">
        <v>385</v>
      </c>
      <c r="B71" s="105"/>
      <c r="C71" s="107"/>
      <c r="D71" s="106"/>
      <c r="E71" s="105"/>
      <c r="F71" s="105"/>
      <c r="G71" s="105"/>
      <c r="H71" s="105"/>
      <c r="I71" s="107"/>
      <c r="J71" s="106"/>
      <c r="K71" s="99" t="str">
        <f aca="true">IF(B71="","",IF(J71="Concluído","✔ Concluído",IF(I71="","Sem prazo",IF(I71&lt;TODAY(),"⚠ Atrasado",IF(I71-TODAY()&lt;=7,"Esta semana","No prazo")))))</f>
        <v/>
      </c>
    </row>
    <row r="72" customFormat="false" ht="15" hidden="false" customHeight="false" outlineLevel="0" collapsed="false">
      <c r="A72" s="101" t="s">
        <v>386</v>
      </c>
      <c r="B72" s="102"/>
      <c r="C72" s="104"/>
      <c r="D72" s="103"/>
      <c r="E72" s="102"/>
      <c r="F72" s="102"/>
      <c r="G72" s="102"/>
      <c r="H72" s="102"/>
      <c r="I72" s="104"/>
      <c r="J72" s="103"/>
      <c r="K72" s="99" t="str">
        <f aca="true">IF(B72="","",IF(J72="Concluído","✔ Concluído",IF(I72="","Sem prazo",IF(I72&lt;TODAY(),"⚠ Atrasado",IF(I72-TODAY()&lt;=7,"Esta semana","No prazo")))))</f>
        <v/>
      </c>
    </row>
    <row r="73" customFormat="false" ht="15" hidden="false" customHeight="false" outlineLevel="0" collapsed="false">
      <c r="A73" s="93" t="s">
        <v>387</v>
      </c>
      <c r="B73" s="105"/>
      <c r="C73" s="107"/>
      <c r="D73" s="106"/>
      <c r="E73" s="105"/>
      <c r="F73" s="105"/>
      <c r="G73" s="105"/>
      <c r="H73" s="105"/>
      <c r="I73" s="107"/>
      <c r="J73" s="106"/>
      <c r="K73" s="99" t="str">
        <f aca="true">IF(B73="","",IF(J73="Concluído","✔ Concluído",IF(I73="","Sem prazo",IF(I73&lt;TODAY(),"⚠ Atrasado",IF(I73-TODAY()&lt;=7,"Esta semana","No prazo")))))</f>
        <v/>
      </c>
    </row>
    <row r="74" customFormat="false" ht="15" hidden="false" customHeight="false" outlineLevel="0" collapsed="false">
      <c r="A74" s="101" t="s">
        <v>388</v>
      </c>
      <c r="B74" s="102"/>
      <c r="C74" s="104"/>
      <c r="D74" s="103"/>
      <c r="E74" s="102"/>
      <c r="F74" s="102"/>
      <c r="G74" s="102"/>
      <c r="H74" s="102"/>
      <c r="I74" s="104"/>
      <c r="J74" s="103"/>
      <c r="K74" s="99" t="str">
        <f aca="true">IF(B74="","",IF(J74="Concluído","✔ Concluído",IF(I74="","Sem prazo",IF(I74&lt;TODAY(),"⚠ Atrasado",IF(I74-TODAY()&lt;=7,"Esta semana","No prazo")))))</f>
        <v/>
      </c>
    </row>
    <row r="75" customFormat="false" ht="15" hidden="false" customHeight="false" outlineLevel="0" collapsed="false">
      <c r="A75" s="93" t="s">
        <v>389</v>
      </c>
      <c r="B75" s="105"/>
      <c r="C75" s="107"/>
      <c r="D75" s="106"/>
      <c r="E75" s="105"/>
      <c r="F75" s="105"/>
      <c r="G75" s="105"/>
      <c r="H75" s="105"/>
      <c r="I75" s="107"/>
      <c r="J75" s="106"/>
      <c r="K75" s="99" t="str">
        <f aca="true">IF(B75="","",IF(J75="Concluído","✔ Concluído",IF(I75="","Sem prazo",IF(I75&lt;TODAY(),"⚠ Atrasado",IF(I75-TODAY()&lt;=7,"Esta semana","No prazo")))))</f>
        <v/>
      </c>
    </row>
    <row r="76" customFormat="false" ht="15" hidden="false" customHeight="false" outlineLevel="0" collapsed="false">
      <c r="A76" s="101" t="s">
        <v>390</v>
      </c>
      <c r="B76" s="102"/>
      <c r="C76" s="104"/>
      <c r="D76" s="103"/>
      <c r="E76" s="102"/>
      <c r="F76" s="102"/>
      <c r="G76" s="102"/>
      <c r="H76" s="102"/>
      <c r="I76" s="104"/>
      <c r="J76" s="103"/>
      <c r="K76" s="99" t="str">
        <f aca="true">IF(B76="","",IF(J76="Concluído","✔ Concluído",IF(I76="","Sem prazo",IF(I76&lt;TODAY(),"⚠ Atrasado",IF(I76-TODAY()&lt;=7,"Esta semana","No prazo")))))</f>
        <v/>
      </c>
    </row>
    <row r="77" customFormat="false" ht="15" hidden="false" customHeight="false" outlineLevel="0" collapsed="false">
      <c r="A77" s="93" t="s">
        <v>391</v>
      </c>
      <c r="B77" s="105"/>
      <c r="C77" s="107"/>
      <c r="D77" s="106"/>
      <c r="E77" s="105"/>
      <c r="F77" s="105"/>
      <c r="G77" s="105"/>
      <c r="H77" s="105"/>
      <c r="I77" s="107"/>
      <c r="J77" s="106"/>
      <c r="K77" s="99" t="str">
        <f aca="true">IF(B77="","",IF(J77="Concluído","✔ Concluído",IF(I77="","Sem prazo",IF(I77&lt;TODAY(),"⚠ Atrasado",IF(I77-TODAY()&lt;=7,"Esta semana","No prazo")))))</f>
        <v/>
      </c>
    </row>
    <row r="78" customFormat="false" ht="15" hidden="false" customHeight="false" outlineLevel="0" collapsed="false">
      <c r="A78" s="101" t="s">
        <v>392</v>
      </c>
      <c r="B78" s="102"/>
      <c r="C78" s="104"/>
      <c r="D78" s="103"/>
      <c r="E78" s="102"/>
      <c r="F78" s="102"/>
      <c r="G78" s="102"/>
      <c r="H78" s="102"/>
      <c r="I78" s="104"/>
      <c r="J78" s="103"/>
      <c r="K78" s="99" t="str">
        <f aca="true">IF(B78="","",IF(J78="Concluído","✔ Concluído",IF(I78="","Sem prazo",IF(I78&lt;TODAY(),"⚠ Atrasado",IF(I78-TODAY()&lt;=7,"Esta semana","No prazo")))))</f>
        <v/>
      </c>
    </row>
    <row r="79" customFormat="false" ht="15" hidden="false" customHeight="false" outlineLevel="0" collapsed="false">
      <c r="A79" s="93" t="s">
        <v>393</v>
      </c>
      <c r="B79" s="105"/>
      <c r="C79" s="107"/>
      <c r="D79" s="106"/>
      <c r="E79" s="105"/>
      <c r="F79" s="105"/>
      <c r="G79" s="105"/>
      <c r="H79" s="105"/>
      <c r="I79" s="107"/>
      <c r="J79" s="106"/>
      <c r="K79" s="99" t="str">
        <f aca="true">IF(B79="","",IF(J79="Concluído","✔ Concluído",IF(I79="","Sem prazo",IF(I79&lt;TODAY(),"⚠ Atrasado",IF(I79-TODAY()&lt;=7,"Esta semana","No prazo")))))</f>
        <v/>
      </c>
    </row>
    <row r="80" customFormat="false" ht="15" hidden="false" customHeight="false" outlineLevel="0" collapsed="false">
      <c r="A80" s="101" t="s">
        <v>394</v>
      </c>
      <c r="B80" s="102"/>
      <c r="C80" s="104"/>
      <c r="D80" s="103"/>
      <c r="E80" s="102"/>
      <c r="F80" s="102"/>
      <c r="G80" s="102"/>
      <c r="H80" s="102"/>
      <c r="I80" s="104"/>
      <c r="J80" s="103"/>
      <c r="K80" s="99" t="str">
        <f aca="true">IF(B80="","",IF(J80="Concluído","✔ Concluído",IF(I80="","Sem prazo",IF(I80&lt;TODAY(),"⚠ Atrasado",IF(I80-TODAY()&lt;=7,"Esta semana","No prazo")))))</f>
        <v/>
      </c>
    </row>
    <row r="81" customFormat="false" ht="15" hidden="false" customHeight="false" outlineLevel="0" collapsed="false">
      <c r="A81" s="93" t="s">
        <v>395</v>
      </c>
      <c r="B81" s="105"/>
      <c r="C81" s="107"/>
      <c r="D81" s="106"/>
      <c r="E81" s="105"/>
      <c r="F81" s="105"/>
      <c r="G81" s="105"/>
      <c r="H81" s="105"/>
      <c r="I81" s="107"/>
      <c r="J81" s="106"/>
      <c r="K81" s="99" t="str">
        <f aca="true">IF(B81="","",IF(J81="Concluído","✔ Concluído",IF(I81="","Sem prazo",IF(I81&lt;TODAY(),"⚠ Atrasado",IF(I81-TODAY()&lt;=7,"Esta semana","No prazo")))))</f>
        <v/>
      </c>
    </row>
    <row r="82" customFormat="false" ht="15" hidden="false" customHeight="false" outlineLevel="0" collapsed="false">
      <c r="A82" s="101" t="s">
        <v>396</v>
      </c>
      <c r="B82" s="102"/>
      <c r="C82" s="104"/>
      <c r="D82" s="103"/>
      <c r="E82" s="102"/>
      <c r="F82" s="102"/>
      <c r="G82" s="102"/>
      <c r="H82" s="102"/>
      <c r="I82" s="104"/>
      <c r="J82" s="103"/>
      <c r="K82" s="99" t="str">
        <f aca="true">IF(B82="","",IF(J82="Concluído","✔ Concluído",IF(I82="","Sem prazo",IF(I82&lt;TODAY(),"⚠ Atrasado",IF(I82-TODAY()&lt;=7,"Esta semana","No prazo")))))</f>
        <v/>
      </c>
    </row>
    <row r="83" customFormat="false" ht="15" hidden="false" customHeight="false" outlineLevel="0" collapsed="false">
      <c r="A83" s="93" t="s">
        <v>397</v>
      </c>
      <c r="B83" s="105"/>
      <c r="C83" s="107"/>
      <c r="D83" s="106"/>
      <c r="E83" s="105"/>
      <c r="F83" s="105"/>
      <c r="G83" s="105"/>
      <c r="H83" s="105"/>
      <c r="I83" s="107"/>
      <c r="J83" s="106"/>
      <c r="K83" s="99" t="str">
        <f aca="true">IF(B83="","",IF(J83="Concluído","✔ Concluído",IF(I83="","Sem prazo",IF(I83&lt;TODAY(),"⚠ Atrasado",IF(I83-TODAY()&lt;=7,"Esta semana","No prazo")))))</f>
        <v/>
      </c>
    </row>
    <row r="84" customFormat="false" ht="15" hidden="false" customHeight="false" outlineLevel="0" collapsed="false">
      <c r="A84" s="101" t="s">
        <v>398</v>
      </c>
      <c r="B84" s="102"/>
      <c r="C84" s="104"/>
      <c r="D84" s="103"/>
      <c r="E84" s="102"/>
      <c r="F84" s="102"/>
      <c r="G84" s="102"/>
      <c r="H84" s="102"/>
      <c r="I84" s="104"/>
      <c r="J84" s="103"/>
      <c r="K84" s="99" t="str">
        <f aca="true">IF(B84="","",IF(J84="Concluído","✔ Concluído",IF(I84="","Sem prazo",IF(I84&lt;TODAY(),"⚠ Atrasado",IF(I84-TODAY()&lt;=7,"Esta semana","No prazo")))))</f>
        <v/>
      </c>
    </row>
    <row r="85" customFormat="false" ht="15" hidden="false" customHeight="false" outlineLevel="0" collapsed="false">
      <c r="A85" s="93" t="s">
        <v>399</v>
      </c>
      <c r="B85" s="105"/>
      <c r="C85" s="107"/>
      <c r="D85" s="106"/>
      <c r="E85" s="105"/>
      <c r="F85" s="105"/>
      <c r="G85" s="105"/>
      <c r="H85" s="105"/>
      <c r="I85" s="107"/>
      <c r="J85" s="106"/>
      <c r="K85" s="99" t="str">
        <f aca="true">IF(B85="","",IF(J85="Concluído","✔ Concluído",IF(I85="","Sem prazo",IF(I85&lt;TODAY(),"⚠ Atrasado",IF(I85-TODAY()&lt;=7,"Esta semana","No prazo")))))</f>
        <v/>
      </c>
    </row>
    <row r="86" customFormat="false" ht="15" hidden="false" customHeight="false" outlineLevel="0" collapsed="false">
      <c r="A86" s="101" t="s">
        <v>400</v>
      </c>
      <c r="B86" s="102"/>
      <c r="C86" s="104"/>
      <c r="D86" s="103"/>
      <c r="E86" s="102"/>
      <c r="F86" s="102"/>
      <c r="G86" s="102"/>
      <c r="H86" s="102"/>
      <c r="I86" s="104"/>
      <c r="J86" s="103"/>
      <c r="K86" s="99" t="str">
        <f aca="true">IF(B86="","",IF(J86="Concluído","✔ Concluído",IF(I86="","Sem prazo",IF(I86&lt;TODAY(),"⚠ Atrasado",IF(I86-TODAY()&lt;=7,"Esta semana","No prazo")))))</f>
        <v/>
      </c>
    </row>
    <row r="87" customFormat="false" ht="15" hidden="false" customHeight="false" outlineLevel="0" collapsed="false">
      <c r="A87" s="93" t="s">
        <v>401</v>
      </c>
      <c r="B87" s="105"/>
      <c r="C87" s="107"/>
      <c r="D87" s="106"/>
      <c r="E87" s="105"/>
      <c r="F87" s="105"/>
      <c r="G87" s="105"/>
      <c r="H87" s="105"/>
      <c r="I87" s="107"/>
      <c r="J87" s="106"/>
      <c r="K87" s="99" t="str">
        <f aca="true">IF(B87="","",IF(J87="Concluído","✔ Concluído",IF(I87="","Sem prazo",IF(I87&lt;TODAY(),"⚠ Atrasado",IF(I87-TODAY()&lt;=7,"Esta semana","No prazo")))))</f>
        <v/>
      </c>
    </row>
    <row r="88" customFormat="false" ht="15" hidden="false" customHeight="false" outlineLevel="0" collapsed="false">
      <c r="A88" s="101" t="s">
        <v>402</v>
      </c>
      <c r="B88" s="102"/>
      <c r="C88" s="104"/>
      <c r="D88" s="103"/>
      <c r="E88" s="102"/>
      <c r="F88" s="102"/>
      <c r="G88" s="102"/>
      <c r="H88" s="102"/>
      <c r="I88" s="104"/>
      <c r="J88" s="103"/>
      <c r="K88" s="99" t="str">
        <f aca="true">IF(B88="","",IF(J88="Concluído","✔ Concluído",IF(I88="","Sem prazo",IF(I88&lt;TODAY(),"⚠ Atrasado",IF(I88-TODAY()&lt;=7,"Esta semana","No prazo")))))</f>
        <v/>
      </c>
    </row>
    <row r="89" customFormat="false" ht="15" hidden="false" customHeight="false" outlineLevel="0" collapsed="false">
      <c r="A89" s="93" t="s">
        <v>403</v>
      </c>
      <c r="B89" s="105"/>
      <c r="C89" s="107"/>
      <c r="D89" s="106"/>
      <c r="E89" s="105"/>
      <c r="F89" s="105"/>
      <c r="G89" s="105"/>
      <c r="H89" s="105"/>
      <c r="I89" s="107"/>
      <c r="J89" s="106"/>
      <c r="K89" s="99" t="str">
        <f aca="true">IF(B89="","",IF(J89="Concluído","✔ Concluído",IF(I89="","Sem prazo",IF(I89&lt;TODAY(),"⚠ Atrasado",IF(I89-TODAY()&lt;=7,"Esta semana","No prazo")))))</f>
        <v/>
      </c>
    </row>
    <row r="90" customFormat="false" ht="15" hidden="false" customHeight="false" outlineLevel="0" collapsed="false">
      <c r="A90" s="101" t="s">
        <v>404</v>
      </c>
      <c r="B90" s="102"/>
      <c r="C90" s="104"/>
      <c r="D90" s="103"/>
      <c r="E90" s="102"/>
      <c r="F90" s="102"/>
      <c r="G90" s="102"/>
      <c r="H90" s="102"/>
      <c r="I90" s="104"/>
      <c r="J90" s="103"/>
      <c r="K90" s="99" t="str">
        <f aca="true">IF(B90="","",IF(J90="Concluído","✔ Concluído",IF(I90="","Sem prazo",IF(I90&lt;TODAY(),"⚠ Atrasado",IF(I90-TODAY()&lt;=7,"Esta semana","No prazo")))))</f>
        <v/>
      </c>
    </row>
    <row r="91" customFormat="false" ht="15" hidden="false" customHeight="false" outlineLevel="0" collapsed="false">
      <c r="A91" s="93" t="s">
        <v>405</v>
      </c>
      <c r="B91" s="105"/>
      <c r="C91" s="107"/>
      <c r="D91" s="106"/>
      <c r="E91" s="105"/>
      <c r="F91" s="105"/>
      <c r="G91" s="105"/>
      <c r="H91" s="105"/>
      <c r="I91" s="107"/>
      <c r="J91" s="106"/>
      <c r="K91" s="99" t="str">
        <f aca="true">IF(B91="","",IF(J91="Concluído","✔ Concluído",IF(I91="","Sem prazo",IF(I91&lt;TODAY(),"⚠ Atrasado",IF(I91-TODAY()&lt;=7,"Esta semana","No prazo")))))</f>
        <v/>
      </c>
    </row>
    <row r="92" customFormat="false" ht="15" hidden="false" customHeight="false" outlineLevel="0" collapsed="false">
      <c r="A92" s="101" t="s">
        <v>406</v>
      </c>
      <c r="B92" s="102"/>
      <c r="C92" s="104"/>
      <c r="D92" s="103"/>
      <c r="E92" s="102"/>
      <c r="F92" s="102"/>
      <c r="G92" s="102"/>
      <c r="H92" s="102"/>
      <c r="I92" s="104"/>
      <c r="J92" s="103"/>
      <c r="K92" s="99" t="str">
        <f aca="true">IF(B92="","",IF(J92="Concluído","✔ Concluído",IF(I92="","Sem prazo",IF(I92&lt;TODAY(),"⚠ Atrasado",IF(I92-TODAY()&lt;=7,"Esta semana","No prazo")))))</f>
        <v/>
      </c>
    </row>
    <row r="93" customFormat="false" ht="15" hidden="false" customHeight="false" outlineLevel="0" collapsed="false">
      <c r="A93" s="93" t="s">
        <v>407</v>
      </c>
      <c r="B93" s="105"/>
      <c r="C93" s="107"/>
      <c r="D93" s="106"/>
      <c r="E93" s="105"/>
      <c r="F93" s="105"/>
      <c r="G93" s="105"/>
      <c r="H93" s="105"/>
      <c r="I93" s="107"/>
      <c r="J93" s="106"/>
      <c r="K93" s="99" t="str">
        <f aca="true">IF(B93="","",IF(J93="Concluído","✔ Concluído",IF(I93="","Sem prazo",IF(I93&lt;TODAY(),"⚠ Atrasado",IF(I93-TODAY()&lt;=7,"Esta semana","No prazo")))))</f>
        <v/>
      </c>
    </row>
    <row r="94" customFormat="false" ht="15" hidden="false" customHeight="false" outlineLevel="0" collapsed="false">
      <c r="A94" s="101" t="s">
        <v>408</v>
      </c>
      <c r="B94" s="102"/>
      <c r="C94" s="104"/>
      <c r="D94" s="103"/>
      <c r="E94" s="102"/>
      <c r="F94" s="102"/>
      <c r="G94" s="102"/>
      <c r="H94" s="102"/>
      <c r="I94" s="104"/>
      <c r="J94" s="103"/>
      <c r="K94" s="99" t="str">
        <f aca="true">IF(B94="","",IF(J94="Concluído","✔ Concluído",IF(I94="","Sem prazo",IF(I94&lt;TODAY(),"⚠ Atrasado",IF(I94-TODAY()&lt;=7,"Esta semana","No prazo")))))</f>
        <v/>
      </c>
    </row>
    <row r="95" customFormat="false" ht="15" hidden="false" customHeight="false" outlineLevel="0" collapsed="false">
      <c r="A95" s="93" t="s">
        <v>409</v>
      </c>
      <c r="B95" s="105"/>
      <c r="C95" s="107"/>
      <c r="D95" s="106"/>
      <c r="E95" s="105"/>
      <c r="F95" s="105"/>
      <c r="G95" s="105"/>
      <c r="H95" s="105"/>
      <c r="I95" s="107"/>
      <c r="J95" s="106"/>
      <c r="K95" s="99" t="str">
        <f aca="true">IF(B95="","",IF(J95="Concluído","✔ Concluído",IF(I95="","Sem prazo",IF(I95&lt;TODAY(),"⚠ Atrasado",IF(I95-TODAY()&lt;=7,"Esta semana","No prazo")))))</f>
        <v/>
      </c>
    </row>
    <row r="96" customFormat="false" ht="15" hidden="false" customHeight="false" outlineLevel="0" collapsed="false">
      <c r="A96" s="101" t="s">
        <v>410</v>
      </c>
      <c r="B96" s="102"/>
      <c r="C96" s="104"/>
      <c r="D96" s="103"/>
      <c r="E96" s="102"/>
      <c r="F96" s="102"/>
      <c r="G96" s="102"/>
      <c r="H96" s="102"/>
      <c r="I96" s="104"/>
      <c r="J96" s="103"/>
      <c r="K96" s="99" t="str">
        <f aca="true">IF(B96="","",IF(J96="Concluído","✔ Concluído",IF(I96="","Sem prazo",IF(I96&lt;TODAY(),"⚠ Atrasado",IF(I96-TODAY()&lt;=7,"Esta semana","No prazo")))))</f>
        <v/>
      </c>
    </row>
    <row r="97" customFormat="false" ht="15" hidden="false" customHeight="false" outlineLevel="0" collapsed="false">
      <c r="A97" s="93" t="s">
        <v>411</v>
      </c>
      <c r="B97" s="105"/>
      <c r="C97" s="107"/>
      <c r="D97" s="106"/>
      <c r="E97" s="105"/>
      <c r="F97" s="105"/>
      <c r="G97" s="105"/>
      <c r="H97" s="105"/>
      <c r="I97" s="107"/>
      <c r="J97" s="106"/>
      <c r="K97" s="99" t="str">
        <f aca="true">IF(B97="","",IF(J97="Concluído","✔ Concluído",IF(I97="","Sem prazo",IF(I97&lt;TODAY(),"⚠ Atrasado",IF(I97-TODAY()&lt;=7,"Esta semana","No prazo")))))</f>
        <v/>
      </c>
    </row>
    <row r="98" customFormat="false" ht="15" hidden="false" customHeight="false" outlineLevel="0" collapsed="false">
      <c r="A98" s="101" t="s">
        <v>412</v>
      </c>
      <c r="B98" s="102"/>
      <c r="C98" s="104"/>
      <c r="D98" s="103"/>
      <c r="E98" s="102"/>
      <c r="F98" s="102"/>
      <c r="G98" s="102"/>
      <c r="H98" s="102"/>
      <c r="I98" s="104"/>
      <c r="J98" s="103"/>
      <c r="K98" s="99" t="str">
        <f aca="true">IF(B98="","",IF(J98="Concluído","✔ Concluído",IF(I98="","Sem prazo",IF(I98&lt;TODAY(),"⚠ Atrasado",IF(I98-TODAY()&lt;=7,"Esta semana","No prazo")))))</f>
        <v/>
      </c>
    </row>
    <row r="99" customFormat="false" ht="15" hidden="false" customHeight="false" outlineLevel="0" collapsed="false">
      <c r="A99" s="93" t="s">
        <v>413</v>
      </c>
      <c r="B99" s="105"/>
      <c r="C99" s="107"/>
      <c r="D99" s="106"/>
      <c r="E99" s="105"/>
      <c r="F99" s="105"/>
      <c r="G99" s="105"/>
      <c r="H99" s="105"/>
      <c r="I99" s="107"/>
      <c r="J99" s="106"/>
      <c r="K99" s="99" t="str">
        <f aca="true">IF(B99="","",IF(J99="Concluído","✔ Concluído",IF(I99="","Sem prazo",IF(I99&lt;TODAY(),"⚠ Atrasado",IF(I99-TODAY()&lt;=7,"Esta semana","No prazo")))))</f>
        <v/>
      </c>
    </row>
    <row r="100" customFormat="false" ht="15" hidden="false" customHeight="false" outlineLevel="0" collapsed="false">
      <c r="A100" s="101" t="s">
        <v>414</v>
      </c>
      <c r="B100" s="102"/>
      <c r="C100" s="104"/>
      <c r="D100" s="103"/>
      <c r="E100" s="102"/>
      <c r="F100" s="102"/>
      <c r="G100" s="102"/>
      <c r="H100" s="102"/>
      <c r="I100" s="104"/>
      <c r="J100" s="103"/>
      <c r="K100" s="99" t="str">
        <f aca="true">IF(B100="","",IF(J100="Concluído","✔ Concluído",IF(I100="","Sem prazo",IF(I100&lt;TODAY(),"⚠ Atrasado",IF(I100-TODAY()&lt;=7,"Esta semana","No prazo")))))</f>
        <v/>
      </c>
    </row>
    <row r="101" customFormat="false" ht="15" hidden="false" customHeight="false" outlineLevel="0" collapsed="false">
      <c r="A101" s="93" t="s">
        <v>415</v>
      </c>
      <c r="B101" s="105"/>
      <c r="C101" s="107"/>
      <c r="D101" s="106"/>
      <c r="E101" s="105"/>
      <c r="F101" s="105"/>
      <c r="G101" s="105"/>
      <c r="H101" s="105"/>
      <c r="I101" s="107"/>
      <c r="J101" s="106"/>
      <c r="K101" s="99" t="str">
        <f aca="true">IF(B101="","",IF(J101="Concluído","✔ Concluído",IF(I101="","Sem prazo",IF(I101&lt;TODAY(),"⚠ Atrasado",IF(I101-TODAY()&lt;=7,"Esta semana","No prazo")))))</f>
        <v/>
      </c>
    </row>
    <row r="102" customFormat="false" ht="15" hidden="false" customHeight="false" outlineLevel="0" collapsed="false">
      <c r="A102" s="101" t="s">
        <v>416</v>
      </c>
      <c r="B102" s="102"/>
      <c r="C102" s="104"/>
      <c r="D102" s="103"/>
      <c r="E102" s="102"/>
      <c r="F102" s="102"/>
      <c r="G102" s="102"/>
      <c r="H102" s="102"/>
      <c r="I102" s="104"/>
      <c r="J102" s="103"/>
      <c r="K102" s="99" t="str">
        <f aca="true">IF(B102="","",IF(J102="Concluído","✔ Concluído",IF(I102="","Sem prazo",IF(I102&lt;TODAY(),"⚠ Atrasado",IF(I102-TODAY()&lt;=7,"Esta semana","No prazo")))))</f>
        <v/>
      </c>
    </row>
    <row r="103" customFormat="false" ht="15" hidden="false" customHeight="false" outlineLevel="0" collapsed="false">
      <c r="A103" s="93" t="s">
        <v>417</v>
      </c>
      <c r="B103" s="105"/>
      <c r="C103" s="107"/>
      <c r="D103" s="106"/>
      <c r="E103" s="105"/>
      <c r="F103" s="105"/>
      <c r="G103" s="105"/>
      <c r="H103" s="105"/>
      <c r="I103" s="107"/>
      <c r="J103" s="106"/>
      <c r="K103" s="99" t="str">
        <f aca="true">IF(B103="","",IF(J103="Concluído","✔ Concluído",IF(I103="","Sem prazo",IF(I103&lt;TODAY(),"⚠ Atrasado",IF(I103-TODAY()&lt;=7,"Esta semana","No prazo")))))</f>
        <v/>
      </c>
    </row>
    <row r="104" customFormat="false" ht="15" hidden="false" customHeight="false" outlineLevel="0" collapsed="false">
      <c r="A104" s="101" t="s">
        <v>418</v>
      </c>
      <c r="B104" s="102"/>
      <c r="C104" s="104"/>
      <c r="D104" s="103"/>
      <c r="E104" s="102"/>
      <c r="F104" s="102"/>
      <c r="G104" s="102"/>
      <c r="H104" s="102"/>
      <c r="I104" s="104"/>
      <c r="J104" s="103"/>
      <c r="K104" s="99" t="str">
        <f aca="true">IF(B104="","",IF(J104="Concluído","✔ Concluído",IF(I104="","Sem prazo",IF(I104&lt;TODAY(),"⚠ Atrasado",IF(I104-TODAY()&lt;=7,"Esta semana","No prazo")))))</f>
        <v/>
      </c>
    </row>
    <row r="105" customFormat="false" ht="15" hidden="false" customHeight="false" outlineLevel="0" collapsed="false">
      <c r="A105" s="93" t="s">
        <v>419</v>
      </c>
      <c r="B105" s="105"/>
      <c r="C105" s="107"/>
      <c r="D105" s="106"/>
      <c r="E105" s="105"/>
      <c r="F105" s="105"/>
      <c r="G105" s="105"/>
      <c r="H105" s="105"/>
      <c r="I105" s="107"/>
      <c r="J105" s="106"/>
      <c r="K105" s="99" t="str">
        <f aca="true">IF(B105="","",IF(J105="Concluído","✔ Concluído",IF(I105="","Sem prazo",IF(I105&lt;TODAY(),"⚠ Atrasado",IF(I105-TODAY()&lt;=7,"Esta semana","No prazo")))))</f>
        <v/>
      </c>
    </row>
    <row r="106" customFormat="false" ht="15" hidden="false" customHeight="false" outlineLevel="0" collapsed="false">
      <c r="A106" s="101" t="s">
        <v>420</v>
      </c>
      <c r="B106" s="102"/>
      <c r="C106" s="104"/>
      <c r="D106" s="103"/>
      <c r="E106" s="102"/>
      <c r="F106" s="102"/>
      <c r="G106" s="102"/>
      <c r="H106" s="102"/>
      <c r="I106" s="104"/>
      <c r="J106" s="103"/>
      <c r="K106" s="99" t="str">
        <f aca="true">IF(B106="","",IF(J106="Concluído","✔ Concluído",IF(I106="","Sem prazo",IF(I106&lt;TODAY(),"⚠ Atrasado",IF(I106-TODAY()&lt;=7,"Esta semana","No prazo")))))</f>
        <v/>
      </c>
    </row>
    <row r="107" customFormat="false" ht="15" hidden="false" customHeight="false" outlineLevel="0" collapsed="false">
      <c r="A107" s="93" t="s">
        <v>421</v>
      </c>
      <c r="B107" s="105"/>
      <c r="C107" s="107"/>
      <c r="D107" s="106"/>
      <c r="E107" s="105"/>
      <c r="F107" s="105"/>
      <c r="G107" s="105"/>
      <c r="H107" s="105"/>
      <c r="I107" s="107"/>
      <c r="J107" s="106"/>
      <c r="K107" s="99" t="str">
        <f aca="true">IF(B107="","",IF(J107="Concluído","✔ Concluído",IF(I107="","Sem prazo",IF(I107&lt;TODAY(),"⚠ Atrasado",IF(I107-TODAY()&lt;=7,"Esta semana","No prazo")))))</f>
        <v/>
      </c>
    </row>
    <row r="108" customFormat="false" ht="15" hidden="false" customHeight="false" outlineLevel="0" collapsed="false">
      <c r="A108" s="101" t="s">
        <v>422</v>
      </c>
      <c r="B108" s="102"/>
      <c r="C108" s="104"/>
      <c r="D108" s="103"/>
      <c r="E108" s="102"/>
      <c r="F108" s="102"/>
      <c r="G108" s="102"/>
      <c r="H108" s="102"/>
      <c r="I108" s="104"/>
      <c r="J108" s="103"/>
      <c r="K108" s="99" t="str">
        <f aca="true">IF(B108="","",IF(J108="Concluído","✔ Concluído",IF(I108="","Sem prazo",IF(I108&lt;TODAY(),"⚠ Atrasado",IF(I108-TODAY()&lt;=7,"Esta semana","No prazo")))))</f>
        <v/>
      </c>
    </row>
    <row r="109" customFormat="false" ht="15" hidden="false" customHeight="false" outlineLevel="0" collapsed="false">
      <c r="A109" s="93" t="s">
        <v>423</v>
      </c>
      <c r="B109" s="105"/>
      <c r="C109" s="107"/>
      <c r="D109" s="106"/>
      <c r="E109" s="105"/>
      <c r="F109" s="105"/>
      <c r="G109" s="105"/>
      <c r="H109" s="105"/>
      <c r="I109" s="107"/>
      <c r="J109" s="106"/>
      <c r="K109" s="99" t="str">
        <f aca="true">IF(B109="","",IF(J109="Concluído","✔ Concluído",IF(I109="","Sem prazo",IF(I109&lt;TODAY(),"⚠ Atrasado",IF(I109-TODAY()&lt;=7,"Esta semana","No prazo")))))</f>
        <v/>
      </c>
    </row>
    <row r="110" customFormat="false" ht="15" hidden="false" customHeight="false" outlineLevel="0" collapsed="false">
      <c r="A110" s="101" t="s">
        <v>424</v>
      </c>
      <c r="B110" s="102"/>
      <c r="C110" s="104"/>
      <c r="D110" s="103"/>
      <c r="E110" s="102"/>
      <c r="F110" s="102"/>
      <c r="G110" s="102"/>
      <c r="H110" s="102"/>
      <c r="I110" s="104"/>
      <c r="J110" s="103"/>
      <c r="K110" s="99" t="str">
        <f aca="true">IF(B110="","",IF(J110="Concluído","✔ Concluído",IF(I110="","Sem prazo",IF(I110&lt;TODAY(),"⚠ Atrasado",IF(I110-TODAY()&lt;=7,"Esta semana","No prazo")))))</f>
        <v/>
      </c>
    </row>
    <row r="111" customFormat="false" ht="15" hidden="false" customHeight="false" outlineLevel="0" collapsed="false">
      <c r="A111" s="93" t="s">
        <v>425</v>
      </c>
      <c r="B111" s="105"/>
      <c r="C111" s="107"/>
      <c r="D111" s="106"/>
      <c r="E111" s="105"/>
      <c r="F111" s="105"/>
      <c r="G111" s="105"/>
      <c r="H111" s="105"/>
      <c r="I111" s="107"/>
      <c r="J111" s="106"/>
      <c r="K111" s="99" t="str">
        <f aca="true">IF(B111="","",IF(J111="Concluído","✔ Concluído",IF(I111="","Sem prazo",IF(I111&lt;TODAY(),"⚠ Atrasado",IF(I111-TODAY()&lt;=7,"Esta semana","No prazo")))))</f>
        <v/>
      </c>
    </row>
    <row r="112" customFormat="false" ht="15" hidden="false" customHeight="false" outlineLevel="0" collapsed="false">
      <c r="A112" s="101" t="s">
        <v>426</v>
      </c>
      <c r="B112" s="102"/>
      <c r="C112" s="104"/>
      <c r="D112" s="103"/>
      <c r="E112" s="102"/>
      <c r="F112" s="102"/>
      <c r="G112" s="102"/>
      <c r="H112" s="102"/>
      <c r="I112" s="104"/>
      <c r="J112" s="103"/>
      <c r="K112" s="99" t="str">
        <f aca="true">IF(B112="","",IF(J112="Concluído","✔ Concluído",IF(I112="","Sem prazo",IF(I112&lt;TODAY(),"⚠ Atrasado",IF(I112-TODAY()&lt;=7,"Esta semana","No prazo")))))</f>
        <v/>
      </c>
    </row>
    <row r="113" customFormat="false" ht="15" hidden="false" customHeight="false" outlineLevel="0" collapsed="false">
      <c r="A113" s="93" t="s">
        <v>427</v>
      </c>
      <c r="B113" s="105"/>
      <c r="C113" s="107"/>
      <c r="D113" s="106"/>
      <c r="E113" s="105"/>
      <c r="F113" s="105"/>
      <c r="G113" s="105"/>
      <c r="H113" s="105"/>
      <c r="I113" s="107"/>
      <c r="J113" s="106"/>
      <c r="K113" s="99" t="str">
        <f aca="true">IF(B113="","",IF(J113="Concluído","✔ Concluído",IF(I113="","Sem prazo",IF(I113&lt;TODAY(),"⚠ Atrasado",IF(I113-TODAY()&lt;=7,"Esta semana","No prazo")))))</f>
        <v/>
      </c>
    </row>
    <row r="114" customFormat="false" ht="15" hidden="false" customHeight="false" outlineLevel="0" collapsed="false">
      <c r="A114" s="101" t="s">
        <v>428</v>
      </c>
      <c r="B114" s="102"/>
      <c r="C114" s="104"/>
      <c r="D114" s="103"/>
      <c r="E114" s="102"/>
      <c r="F114" s="102"/>
      <c r="G114" s="102"/>
      <c r="H114" s="102"/>
      <c r="I114" s="104"/>
      <c r="J114" s="103"/>
      <c r="K114" s="99" t="str">
        <f aca="true">IF(B114="","",IF(J114="Concluído","✔ Concluído",IF(I114="","Sem prazo",IF(I114&lt;TODAY(),"⚠ Atrasado",IF(I114-TODAY()&lt;=7,"Esta semana","No prazo")))))</f>
        <v/>
      </c>
    </row>
    <row r="115" customFormat="false" ht="15" hidden="false" customHeight="false" outlineLevel="0" collapsed="false">
      <c r="A115" s="93" t="s">
        <v>429</v>
      </c>
      <c r="B115" s="105"/>
      <c r="C115" s="107"/>
      <c r="D115" s="106"/>
      <c r="E115" s="105"/>
      <c r="F115" s="105"/>
      <c r="G115" s="105"/>
      <c r="H115" s="105"/>
      <c r="I115" s="107"/>
      <c r="J115" s="106"/>
      <c r="K115" s="99" t="str">
        <f aca="true">IF(B115="","",IF(J115="Concluído","✔ Concluído",IF(I115="","Sem prazo",IF(I115&lt;TODAY(),"⚠ Atrasado",IF(I115-TODAY()&lt;=7,"Esta semana","No prazo")))))</f>
        <v/>
      </c>
    </row>
    <row r="116" customFormat="false" ht="15" hidden="false" customHeight="false" outlineLevel="0" collapsed="false">
      <c r="A116" s="101" t="s">
        <v>430</v>
      </c>
      <c r="B116" s="102"/>
      <c r="C116" s="104"/>
      <c r="D116" s="103"/>
      <c r="E116" s="102"/>
      <c r="F116" s="102"/>
      <c r="G116" s="102"/>
      <c r="H116" s="102"/>
      <c r="I116" s="104"/>
      <c r="J116" s="103"/>
      <c r="K116" s="99" t="str">
        <f aca="true">IF(B116="","",IF(J116="Concluído","✔ Concluído",IF(I116="","Sem prazo",IF(I116&lt;TODAY(),"⚠ Atrasado",IF(I116-TODAY()&lt;=7,"Esta semana","No prazo")))))</f>
        <v/>
      </c>
    </row>
    <row r="117" customFormat="false" ht="15" hidden="false" customHeight="false" outlineLevel="0" collapsed="false">
      <c r="A117" s="93" t="s">
        <v>431</v>
      </c>
      <c r="B117" s="105"/>
      <c r="C117" s="107"/>
      <c r="D117" s="106"/>
      <c r="E117" s="105"/>
      <c r="F117" s="105"/>
      <c r="G117" s="105"/>
      <c r="H117" s="105"/>
      <c r="I117" s="107"/>
      <c r="J117" s="106"/>
      <c r="K117" s="99" t="str">
        <f aca="true">IF(B117="","",IF(J117="Concluído","✔ Concluído",IF(I117="","Sem prazo",IF(I117&lt;TODAY(),"⚠ Atrasado",IF(I117-TODAY()&lt;=7,"Esta semana","No prazo")))))</f>
        <v/>
      </c>
    </row>
    <row r="118" customFormat="false" ht="15" hidden="false" customHeight="false" outlineLevel="0" collapsed="false">
      <c r="A118" s="101" t="s">
        <v>432</v>
      </c>
      <c r="B118" s="102"/>
      <c r="C118" s="104"/>
      <c r="D118" s="103"/>
      <c r="E118" s="102"/>
      <c r="F118" s="102"/>
      <c r="G118" s="102"/>
      <c r="H118" s="102"/>
      <c r="I118" s="104"/>
      <c r="J118" s="103"/>
      <c r="K118" s="99" t="str">
        <f aca="true">IF(B118="","",IF(J118="Concluído","✔ Concluído",IF(I118="","Sem prazo",IF(I118&lt;TODAY(),"⚠ Atrasado",IF(I118-TODAY()&lt;=7,"Esta semana","No prazo")))))</f>
        <v/>
      </c>
    </row>
    <row r="119" customFormat="false" ht="15" hidden="false" customHeight="false" outlineLevel="0" collapsed="false">
      <c r="A119" s="93" t="s">
        <v>433</v>
      </c>
      <c r="B119" s="105"/>
      <c r="C119" s="107"/>
      <c r="D119" s="106"/>
      <c r="E119" s="105"/>
      <c r="F119" s="105"/>
      <c r="G119" s="105"/>
      <c r="H119" s="105"/>
      <c r="I119" s="107"/>
      <c r="J119" s="106"/>
      <c r="K119" s="99" t="str">
        <f aca="true">IF(B119="","",IF(J119="Concluído","✔ Concluído",IF(I119="","Sem prazo",IF(I119&lt;TODAY(),"⚠ Atrasado",IF(I119-TODAY()&lt;=7,"Esta semana","No prazo")))))</f>
        <v/>
      </c>
    </row>
    <row r="120" customFormat="false" ht="15" hidden="false" customHeight="false" outlineLevel="0" collapsed="false">
      <c r="A120" s="101" t="s">
        <v>434</v>
      </c>
      <c r="B120" s="102"/>
      <c r="C120" s="104"/>
      <c r="D120" s="103"/>
      <c r="E120" s="102"/>
      <c r="F120" s="102"/>
      <c r="G120" s="102"/>
      <c r="H120" s="102"/>
      <c r="I120" s="104"/>
      <c r="J120" s="103"/>
      <c r="K120" s="99" t="str">
        <f aca="true">IF(B120="","",IF(J120="Concluído","✔ Concluído",IF(I120="","Sem prazo",IF(I120&lt;TODAY(),"⚠ Atrasado",IF(I120-TODAY()&lt;=7,"Esta semana","No prazo")))))</f>
        <v/>
      </c>
    </row>
    <row r="121" customFormat="false" ht="15" hidden="false" customHeight="false" outlineLevel="0" collapsed="false">
      <c r="A121" s="93" t="s">
        <v>435</v>
      </c>
      <c r="B121" s="105"/>
      <c r="C121" s="107"/>
      <c r="D121" s="106"/>
      <c r="E121" s="105"/>
      <c r="F121" s="105"/>
      <c r="G121" s="105"/>
      <c r="H121" s="105"/>
      <c r="I121" s="107"/>
      <c r="J121" s="106"/>
      <c r="K121" s="99" t="str">
        <f aca="true">IF(B121="","",IF(J121="Concluído","✔ Concluído",IF(I121="","Sem prazo",IF(I121&lt;TODAY(),"⚠ Atrasado",IF(I121-TODAY()&lt;=7,"Esta semana","No prazo")))))</f>
        <v/>
      </c>
    </row>
    <row r="122" customFormat="false" ht="15" hidden="false" customHeight="false" outlineLevel="0" collapsed="false">
      <c r="A122" s="101" t="s">
        <v>436</v>
      </c>
      <c r="B122" s="102"/>
      <c r="C122" s="104"/>
      <c r="D122" s="103"/>
      <c r="E122" s="102"/>
      <c r="F122" s="102"/>
      <c r="G122" s="102"/>
      <c r="H122" s="102"/>
      <c r="I122" s="104"/>
      <c r="J122" s="103"/>
      <c r="K122" s="99" t="str">
        <f aca="true">IF(B122="","",IF(J122="Concluído","✔ Concluído",IF(I122="","Sem prazo",IF(I122&lt;TODAY(),"⚠ Atrasado",IF(I122-TODAY()&lt;=7,"Esta semana","No prazo")))))</f>
        <v/>
      </c>
    </row>
    <row r="123" customFormat="false" ht="15" hidden="false" customHeight="false" outlineLevel="0" collapsed="false">
      <c r="A123" s="93" t="s">
        <v>437</v>
      </c>
      <c r="B123" s="105"/>
      <c r="C123" s="107"/>
      <c r="D123" s="106"/>
      <c r="E123" s="105"/>
      <c r="F123" s="105"/>
      <c r="G123" s="105"/>
      <c r="H123" s="105"/>
      <c r="I123" s="107"/>
      <c r="J123" s="106"/>
      <c r="K123" s="99" t="str">
        <f aca="true">IF(B123="","",IF(J123="Concluído","✔ Concluído",IF(I123="","Sem prazo",IF(I123&lt;TODAY(),"⚠ Atrasado",IF(I123-TODAY()&lt;=7,"Esta semana","No prazo")))))</f>
        <v/>
      </c>
    </row>
    <row r="124" customFormat="false" ht="15" hidden="false" customHeight="false" outlineLevel="0" collapsed="false">
      <c r="A124" s="101" t="s">
        <v>438</v>
      </c>
      <c r="B124" s="102"/>
      <c r="C124" s="104"/>
      <c r="D124" s="103"/>
      <c r="E124" s="102"/>
      <c r="F124" s="102"/>
      <c r="G124" s="102"/>
      <c r="H124" s="102"/>
      <c r="I124" s="104"/>
      <c r="J124" s="103"/>
      <c r="K124" s="99" t="str">
        <f aca="true">IF(B124="","",IF(J124="Concluído","✔ Concluído",IF(I124="","Sem prazo",IF(I124&lt;TODAY(),"⚠ Atrasado",IF(I124-TODAY()&lt;=7,"Esta semana","No prazo")))))</f>
        <v/>
      </c>
    </row>
    <row r="125" customFormat="false" ht="15" hidden="false" customHeight="false" outlineLevel="0" collapsed="false">
      <c r="A125" s="93" t="s">
        <v>439</v>
      </c>
      <c r="B125" s="105"/>
      <c r="C125" s="107"/>
      <c r="D125" s="106"/>
      <c r="E125" s="105"/>
      <c r="F125" s="105"/>
      <c r="G125" s="105"/>
      <c r="H125" s="105"/>
      <c r="I125" s="107"/>
      <c r="J125" s="106"/>
      <c r="K125" s="99" t="str">
        <f aca="true">IF(B125="","",IF(J125="Concluído","✔ Concluído",IF(I125="","Sem prazo",IF(I125&lt;TODAY(),"⚠ Atrasado",IF(I125-TODAY()&lt;=7,"Esta semana","No prazo")))))</f>
        <v/>
      </c>
    </row>
    <row r="126" customFormat="false" ht="15" hidden="false" customHeight="false" outlineLevel="0" collapsed="false">
      <c r="A126" s="101" t="s">
        <v>440</v>
      </c>
      <c r="B126" s="102"/>
      <c r="C126" s="104"/>
      <c r="D126" s="103"/>
      <c r="E126" s="102"/>
      <c r="F126" s="102"/>
      <c r="G126" s="102"/>
      <c r="H126" s="102"/>
      <c r="I126" s="104"/>
      <c r="J126" s="103"/>
      <c r="K126" s="99" t="str">
        <f aca="true">IF(B126="","",IF(J126="Concluído","✔ Concluído",IF(I126="","Sem prazo",IF(I126&lt;TODAY(),"⚠ Atrasado",IF(I126-TODAY()&lt;=7,"Esta semana","No prazo")))))</f>
        <v/>
      </c>
    </row>
    <row r="127" customFormat="false" ht="15" hidden="false" customHeight="false" outlineLevel="0" collapsed="false">
      <c r="A127" s="93" t="s">
        <v>441</v>
      </c>
      <c r="B127" s="105"/>
      <c r="C127" s="107"/>
      <c r="D127" s="106"/>
      <c r="E127" s="105"/>
      <c r="F127" s="105"/>
      <c r="G127" s="105"/>
      <c r="H127" s="105"/>
      <c r="I127" s="107"/>
      <c r="J127" s="106"/>
      <c r="K127" s="99" t="str">
        <f aca="true">IF(B127="","",IF(J127="Concluído","✔ Concluído",IF(I127="","Sem prazo",IF(I127&lt;TODAY(),"⚠ Atrasado",IF(I127-TODAY()&lt;=7,"Esta semana","No prazo")))))</f>
        <v/>
      </c>
    </row>
    <row r="128" customFormat="false" ht="15" hidden="false" customHeight="false" outlineLevel="0" collapsed="false">
      <c r="A128" s="101" t="s">
        <v>442</v>
      </c>
      <c r="B128" s="102"/>
      <c r="C128" s="104"/>
      <c r="D128" s="103"/>
      <c r="E128" s="102"/>
      <c r="F128" s="102"/>
      <c r="G128" s="102"/>
      <c r="H128" s="102"/>
      <c r="I128" s="104"/>
      <c r="J128" s="103"/>
      <c r="K128" s="99" t="str">
        <f aca="true">IF(B128="","",IF(J128="Concluído","✔ Concluído",IF(I128="","Sem prazo",IF(I128&lt;TODAY(),"⚠ Atrasado",IF(I128-TODAY()&lt;=7,"Esta semana","No prazo")))))</f>
        <v/>
      </c>
    </row>
    <row r="129" customFormat="false" ht="15" hidden="false" customHeight="false" outlineLevel="0" collapsed="false">
      <c r="A129" s="93" t="s">
        <v>443</v>
      </c>
      <c r="B129" s="105"/>
      <c r="C129" s="107"/>
      <c r="D129" s="106"/>
      <c r="E129" s="105"/>
      <c r="F129" s="105"/>
      <c r="G129" s="105"/>
      <c r="H129" s="105"/>
      <c r="I129" s="107"/>
      <c r="J129" s="106"/>
      <c r="K129" s="99" t="str">
        <f aca="true">IF(B129="","",IF(J129="Concluído","✔ Concluído",IF(I129="","Sem prazo",IF(I129&lt;TODAY(),"⚠ Atrasado",IF(I129-TODAY()&lt;=7,"Esta semana","No prazo")))))</f>
        <v/>
      </c>
    </row>
    <row r="130" customFormat="false" ht="15" hidden="false" customHeight="false" outlineLevel="0" collapsed="false">
      <c r="A130" s="101" t="s">
        <v>444</v>
      </c>
      <c r="B130" s="102"/>
      <c r="C130" s="104"/>
      <c r="D130" s="103"/>
      <c r="E130" s="102"/>
      <c r="F130" s="102"/>
      <c r="G130" s="102"/>
      <c r="H130" s="102"/>
      <c r="I130" s="104"/>
      <c r="J130" s="103"/>
      <c r="K130" s="99" t="str">
        <f aca="true">IF(B130="","",IF(J130="Concluído","✔ Concluído",IF(I130="","Sem prazo",IF(I130&lt;TODAY(),"⚠ Atrasado",IF(I130-TODAY()&lt;=7,"Esta semana","No prazo")))))</f>
        <v/>
      </c>
    </row>
    <row r="131" customFormat="false" ht="15" hidden="false" customHeight="false" outlineLevel="0" collapsed="false">
      <c r="A131" s="93" t="s">
        <v>445</v>
      </c>
      <c r="B131" s="105"/>
      <c r="C131" s="107"/>
      <c r="D131" s="106"/>
      <c r="E131" s="105"/>
      <c r="F131" s="105"/>
      <c r="G131" s="105"/>
      <c r="H131" s="105"/>
      <c r="I131" s="107"/>
      <c r="J131" s="106"/>
      <c r="K131" s="99" t="str">
        <f aca="true">IF(B131="","",IF(J131="Concluído","✔ Concluído",IF(I131="","Sem prazo",IF(I131&lt;TODAY(),"⚠ Atrasado",IF(I131-TODAY()&lt;=7,"Esta semana","No prazo")))))</f>
        <v/>
      </c>
    </row>
    <row r="132" customFormat="false" ht="15" hidden="false" customHeight="false" outlineLevel="0" collapsed="false">
      <c r="A132" s="101" t="s">
        <v>446</v>
      </c>
      <c r="B132" s="102"/>
      <c r="C132" s="104"/>
      <c r="D132" s="103"/>
      <c r="E132" s="102"/>
      <c r="F132" s="102"/>
      <c r="G132" s="102"/>
      <c r="H132" s="102"/>
      <c r="I132" s="104"/>
      <c r="J132" s="103"/>
      <c r="K132" s="99" t="str">
        <f aca="true">IF(B132="","",IF(J132="Concluído","✔ Concluído",IF(I132="","Sem prazo",IF(I132&lt;TODAY(),"⚠ Atrasado",IF(I132-TODAY()&lt;=7,"Esta semana","No prazo")))))</f>
        <v/>
      </c>
    </row>
    <row r="133" customFormat="false" ht="15" hidden="false" customHeight="false" outlineLevel="0" collapsed="false">
      <c r="A133" s="93" t="s">
        <v>447</v>
      </c>
      <c r="B133" s="105"/>
      <c r="C133" s="107"/>
      <c r="D133" s="106"/>
      <c r="E133" s="105"/>
      <c r="F133" s="105"/>
      <c r="G133" s="105"/>
      <c r="H133" s="105"/>
      <c r="I133" s="107"/>
      <c r="J133" s="106"/>
      <c r="K133" s="99" t="str">
        <f aca="true">IF(B133="","",IF(J133="Concluído","✔ Concluído",IF(I133="","Sem prazo",IF(I133&lt;TODAY(),"⚠ Atrasado",IF(I133-TODAY()&lt;=7,"Esta semana","No prazo")))))</f>
        <v/>
      </c>
    </row>
    <row r="134" customFormat="false" ht="15" hidden="false" customHeight="false" outlineLevel="0" collapsed="false">
      <c r="A134" s="101" t="s">
        <v>448</v>
      </c>
      <c r="B134" s="102"/>
      <c r="C134" s="104"/>
      <c r="D134" s="103"/>
      <c r="E134" s="102"/>
      <c r="F134" s="102"/>
      <c r="G134" s="102"/>
      <c r="H134" s="102"/>
      <c r="I134" s="104"/>
      <c r="J134" s="103"/>
      <c r="K134" s="99" t="str">
        <f aca="true">IF(B134="","",IF(J134="Concluído","✔ Concluído",IF(I134="","Sem prazo",IF(I134&lt;TODAY(),"⚠ Atrasado",IF(I134-TODAY()&lt;=7,"Esta semana","No prazo")))))</f>
        <v/>
      </c>
    </row>
    <row r="135" customFormat="false" ht="15" hidden="false" customHeight="false" outlineLevel="0" collapsed="false">
      <c r="A135" s="93" t="s">
        <v>449</v>
      </c>
      <c r="B135" s="105"/>
      <c r="C135" s="107"/>
      <c r="D135" s="106"/>
      <c r="E135" s="105"/>
      <c r="F135" s="105"/>
      <c r="G135" s="105"/>
      <c r="H135" s="105"/>
      <c r="I135" s="107"/>
      <c r="J135" s="106"/>
      <c r="K135" s="99" t="str">
        <f aca="true">IF(B135="","",IF(J135="Concluído","✔ Concluído",IF(I135="","Sem prazo",IF(I135&lt;TODAY(),"⚠ Atrasado",IF(I135-TODAY()&lt;=7,"Esta semana","No prazo")))))</f>
        <v/>
      </c>
    </row>
    <row r="136" customFormat="false" ht="15" hidden="false" customHeight="false" outlineLevel="0" collapsed="false">
      <c r="A136" s="101" t="s">
        <v>450</v>
      </c>
      <c r="B136" s="102"/>
      <c r="C136" s="104"/>
      <c r="D136" s="103"/>
      <c r="E136" s="102"/>
      <c r="F136" s="102"/>
      <c r="G136" s="102"/>
      <c r="H136" s="102"/>
      <c r="I136" s="104"/>
      <c r="J136" s="103"/>
      <c r="K136" s="99" t="str">
        <f aca="true">IF(B136="","",IF(J136="Concluído","✔ Concluído",IF(I136="","Sem prazo",IF(I136&lt;TODAY(),"⚠ Atrasado",IF(I136-TODAY()&lt;=7,"Esta semana","No prazo")))))</f>
        <v/>
      </c>
    </row>
    <row r="137" customFormat="false" ht="15" hidden="false" customHeight="false" outlineLevel="0" collapsed="false">
      <c r="A137" s="93" t="s">
        <v>451</v>
      </c>
      <c r="B137" s="105"/>
      <c r="C137" s="107"/>
      <c r="D137" s="106"/>
      <c r="E137" s="105"/>
      <c r="F137" s="105"/>
      <c r="G137" s="105"/>
      <c r="H137" s="105"/>
      <c r="I137" s="107"/>
      <c r="J137" s="106"/>
      <c r="K137" s="99" t="str">
        <f aca="true">IF(B137="","",IF(J137="Concluído","✔ Concluído",IF(I137="","Sem prazo",IF(I137&lt;TODAY(),"⚠ Atrasado",IF(I137-TODAY()&lt;=7,"Esta semana","No prazo")))))</f>
        <v/>
      </c>
    </row>
    <row r="138" customFormat="false" ht="15" hidden="false" customHeight="false" outlineLevel="0" collapsed="false">
      <c r="A138" s="101" t="s">
        <v>452</v>
      </c>
      <c r="B138" s="102"/>
      <c r="C138" s="104"/>
      <c r="D138" s="103"/>
      <c r="E138" s="102"/>
      <c r="F138" s="102"/>
      <c r="G138" s="102"/>
      <c r="H138" s="102"/>
      <c r="I138" s="104"/>
      <c r="J138" s="103"/>
      <c r="K138" s="99" t="str">
        <f aca="true">IF(B138="","",IF(J138="Concluído","✔ Concluído",IF(I138="","Sem prazo",IF(I138&lt;TODAY(),"⚠ Atrasado",IF(I138-TODAY()&lt;=7,"Esta semana","No prazo")))))</f>
        <v/>
      </c>
    </row>
    <row r="139" customFormat="false" ht="15" hidden="false" customHeight="false" outlineLevel="0" collapsed="false">
      <c r="A139" s="93" t="s">
        <v>453</v>
      </c>
      <c r="B139" s="105"/>
      <c r="C139" s="107"/>
      <c r="D139" s="106"/>
      <c r="E139" s="105"/>
      <c r="F139" s="105"/>
      <c r="G139" s="105"/>
      <c r="H139" s="105"/>
      <c r="I139" s="107"/>
      <c r="J139" s="106"/>
      <c r="K139" s="99" t="str">
        <f aca="true">IF(B139="","",IF(J139="Concluído","✔ Concluído",IF(I139="","Sem prazo",IF(I139&lt;TODAY(),"⚠ Atrasado",IF(I139-TODAY()&lt;=7,"Esta semana","No prazo")))))</f>
        <v/>
      </c>
    </row>
    <row r="140" customFormat="false" ht="15" hidden="false" customHeight="false" outlineLevel="0" collapsed="false">
      <c r="A140" s="101" t="s">
        <v>454</v>
      </c>
      <c r="B140" s="102"/>
      <c r="C140" s="104"/>
      <c r="D140" s="103"/>
      <c r="E140" s="102"/>
      <c r="F140" s="102"/>
      <c r="G140" s="102"/>
      <c r="H140" s="102"/>
      <c r="I140" s="104"/>
      <c r="J140" s="103"/>
      <c r="K140" s="99" t="str">
        <f aca="true">IF(B140="","",IF(J140="Concluído","✔ Concluído",IF(I140="","Sem prazo",IF(I140&lt;TODAY(),"⚠ Atrasado",IF(I140-TODAY()&lt;=7,"Esta semana","No prazo")))))</f>
        <v/>
      </c>
    </row>
    <row r="141" customFormat="false" ht="15" hidden="false" customHeight="false" outlineLevel="0" collapsed="false">
      <c r="A141" s="93" t="s">
        <v>455</v>
      </c>
      <c r="B141" s="105"/>
      <c r="C141" s="107"/>
      <c r="D141" s="106"/>
      <c r="E141" s="105"/>
      <c r="F141" s="105"/>
      <c r="G141" s="105"/>
      <c r="H141" s="105"/>
      <c r="I141" s="107"/>
      <c r="J141" s="106"/>
      <c r="K141" s="99" t="str">
        <f aca="true">IF(B141="","",IF(J141="Concluído","✔ Concluído",IF(I141="","Sem prazo",IF(I141&lt;TODAY(),"⚠ Atrasado",IF(I141-TODAY()&lt;=7,"Esta semana","No prazo")))))</f>
        <v/>
      </c>
    </row>
    <row r="142" customFormat="false" ht="15" hidden="false" customHeight="false" outlineLevel="0" collapsed="false">
      <c r="A142" s="101" t="s">
        <v>456</v>
      </c>
      <c r="B142" s="102"/>
      <c r="C142" s="104"/>
      <c r="D142" s="103"/>
      <c r="E142" s="102"/>
      <c r="F142" s="102"/>
      <c r="G142" s="102"/>
      <c r="H142" s="102"/>
      <c r="I142" s="104"/>
      <c r="J142" s="103"/>
      <c r="K142" s="99" t="str">
        <f aca="true">IF(B142="","",IF(J142="Concluído","✔ Concluído",IF(I142="","Sem prazo",IF(I142&lt;TODAY(),"⚠ Atrasado",IF(I142-TODAY()&lt;=7,"Esta semana","No prazo")))))</f>
        <v/>
      </c>
    </row>
    <row r="143" customFormat="false" ht="15" hidden="false" customHeight="false" outlineLevel="0" collapsed="false">
      <c r="A143" s="93" t="s">
        <v>457</v>
      </c>
      <c r="B143" s="105"/>
      <c r="C143" s="107"/>
      <c r="D143" s="106"/>
      <c r="E143" s="105"/>
      <c r="F143" s="105"/>
      <c r="G143" s="105"/>
      <c r="H143" s="105"/>
      <c r="I143" s="107"/>
      <c r="J143" s="106"/>
      <c r="K143" s="99" t="str">
        <f aca="true">IF(B143="","",IF(J143="Concluído","✔ Concluído",IF(I143="","Sem prazo",IF(I143&lt;TODAY(),"⚠ Atrasado",IF(I143-TODAY()&lt;=7,"Esta semana","No prazo")))))</f>
        <v/>
      </c>
    </row>
    <row r="144" customFormat="false" ht="15" hidden="false" customHeight="false" outlineLevel="0" collapsed="false">
      <c r="A144" s="101" t="s">
        <v>458</v>
      </c>
      <c r="B144" s="102"/>
      <c r="C144" s="104"/>
      <c r="D144" s="103"/>
      <c r="E144" s="102"/>
      <c r="F144" s="102"/>
      <c r="G144" s="102"/>
      <c r="H144" s="102"/>
      <c r="I144" s="104"/>
      <c r="J144" s="103"/>
      <c r="K144" s="99" t="str">
        <f aca="true">IF(B144="","",IF(J144="Concluído","✔ Concluído",IF(I144="","Sem prazo",IF(I144&lt;TODAY(),"⚠ Atrasado",IF(I144-TODAY()&lt;=7,"Esta semana","No prazo")))))</f>
        <v/>
      </c>
    </row>
    <row r="145" customFormat="false" ht="15" hidden="false" customHeight="false" outlineLevel="0" collapsed="false">
      <c r="A145" s="93" t="s">
        <v>459</v>
      </c>
      <c r="B145" s="105"/>
      <c r="C145" s="107"/>
      <c r="D145" s="106"/>
      <c r="E145" s="105"/>
      <c r="F145" s="105"/>
      <c r="G145" s="105"/>
      <c r="H145" s="105"/>
      <c r="I145" s="107"/>
      <c r="J145" s="106"/>
      <c r="K145" s="99" t="str">
        <f aca="true">IF(B145="","",IF(J145="Concluído","✔ Concluído",IF(I145="","Sem prazo",IF(I145&lt;TODAY(),"⚠ Atrasado",IF(I145-TODAY()&lt;=7,"Esta semana","No prazo")))))</f>
        <v/>
      </c>
    </row>
    <row r="146" customFormat="false" ht="15" hidden="false" customHeight="false" outlineLevel="0" collapsed="false">
      <c r="A146" s="101" t="s">
        <v>460</v>
      </c>
      <c r="B146" s="102"/>
      <c r="C146" s="104"/>
      <c r="D146" s="103"/>
      <c r="E146" s="102"/>
      <c r="F146" s="102"/>
      <c r="G146" s="102"/>
      <c r="H146" s="102"/>
      <c r="I146" s="104"/>
      <c r="J146" s="103"/>
      <c r="K146" s="99" t="str">
        <f aca="true">IF(B146="","",IF(J146="Concluído","✔ Concluído",IF(I146="","Sem prazo",IF(I146&lt;TODAY(),"⚠ Atrasado",IF(I146-TODAY()&lt;=7,"Esta semana","No prazo")))))</f>
        <v/>
      </c>
    </row>
    <row r="147" customFormat="false" ht="15" hidden="false" customHeight="false" outlineLevel="0" collapsed="false">
      <c r="A147" s="93" t="s">
        <v>461</v>
      </c>
      <c r="B147" s="105"/>
      <c r="C147" s="107"/>
      <c r="D147" s="106"/>
      <c r="E147" s="105"/>
      <c r="F147" s="105"/>
      <c r="G147" s="105"/>
      <c r="H147" s="105"/>
      <c r="I147" s="107"/>
      <c r="J147" s="106"/>
      <c r="K147" s="99" t="str">
        <f aca="true">IF(B147="","",IF(J147="Concluído","✔ Concluído",IF(I147="","Sem prazo",IF(I147&lt;TODAY(),"⚠ Atrasado",IF(I147-TODAY()&lt;=7,"Esta semana","No prazo")))))</f>
        <v/>
      </c>
    </row>
    <row r="148" customFormat="false" ht="15" hidden="false" customHeight="false" outlineLevel="0" collapsed="false">
      <c r="A148" s="101" t="s">
        <v>462</v>
      </c>
      <c r="B148" s="102"/>
      <c r="C148" s="104"/>
      <c r="D148" s="103"/>
      <c r="E148" s="102"/>
      <c r="F148" s="102"/>
      <c r="G148" s="102"/>
      <c r="H148" s="102"/>
      <c r="I148" s="104"/>
      <c r="J148" s="103"/>
      <c r="K148" s="99" t="str">
        <f aca="true">IF(B148="","",IF(J148="Concluído","✔ Concluído",IF(I148="","Sem prazo",IF(I148&lt;TODAY(),"⚠ Atrasado",IF(I148-TODAY()&lt;=7,"Esta semana","No prazo")))))</f>
        <v/>
      </c>
    </row>
    <row r="149" customFormat="false" ht="15" hidden="false" customHeight="false" outlineLevel="0" collapsed="false">
      <c r="A149" s="93" t="s">
        <v>463</v>
      </c>
      <c r="B149" s="105"/>
      <c r="C149" s="107"/>
      <c r="D149" s="106"/>
      <c r="E149" s="105"/>
      <c r="F149" s="105"/>
      <c r="G149" s="105"/>
      <c r="H149" s="105"/>
      <c r="I149" s="107"/>
      <c r="J149" s="106"/>
      <c r="K149" s="99" t="str">
        <f aca="true">IF(B149="","",IF(J149="Concluído","✔ Concluído",IF(I149="","Sem prazo",IF(I149&lt;TODAY(),"⚠ Atrasado",IF(I149-TODAY()&lt;=7,"Esta semana","No prazo")))))</f>
        <v/>
      </c>
    </row>
    <row r="150" customFormat="false" ht="15" hidden="false" customHeight="false" outlineLevel="0" collapsed="false">
      <c r="A150" s="101" t="s">
        <v>464</v>
      </c>
      <c r="B150" s="102"/>
      <c r="C150" s="104"/>
      <c r="D150" s="103"/>
      <c r="E150" s="102"/>
      <c r="F150" s="102"/>
      <c r="G150" s="102"/>
      <c r="H150" s="102"/>
      <c r="I150" s="104"/>
      <c r="J150" s="103"/>
      <c r="K150" s="99" t="str">
        <f aca="true">IF(B150="","",IF(J150="Concluído","✔ Concluído",IF(I150="","Sem prazo",IF(I150&lt;TODAY(),"⚠ Atrasado",IF(I150-TODAY()&lt;=7,"Esta semana","No prazo")))))</f>
        <v/>
      </c>
    </row>
    <row r="151" customFormat="false" ht="15" hidden="false" customHeight="false" outlineLevel="0" collapsed="false">
      <c r="A151" s="93" t="s">
        <v>465</v>
      </c>
      <c r="B151" s="105"/>
      <c r="C151" s="107"/>
      <c r="D151" s="106"/>
      <c r="E151" s="105"/>
      <c r="F151" s="105"/>
      <c r="G151" s="105"/>
      <c r="H151" s="105"/>
      <c r="I151" s="107"/>
      <c r="J151" s="106"/>
      <c r="K151" s="99" t="str">
        <f aca="true">IF(B151="","",IF(J151="Concluído","✔ Concluído",IF(I151="","Sem prazo",IF(I151&lt;TODAY(),"⚠ Atrasado",IF(I151-TODAY()&lt;=7,"Esta semana","No prazo")))))</f>
        <v/>
      </c>
    </row>
    <row r="152" customFormat="false" ht="15" hidden="false" customHeight="false" outlineLevel="0" collapsed="false">
      <c r="A152" s="101" t="s">
        <v>466</v>
      </c>
      <c r="B152" s="102"/>
      <c r="C152" s="104"/>
      <c r="D152" s="103"/>
      <c r="E152" s="102"/>
      <c r="F152" s="102"/>
      <c r="G152" s="102"/>
      <c r="H152" s="102"/>
      <c r="I152" s="104"/>
      <c r="J152" s="103"/>
      <c r="K152" s="99" t="str">
        <f aca="true">IF(B152="","",IF(J152="Concluído","✔ Concluído",IF(I152="","Sem prazo",IF(I152&lt;TODAY(),"⚠ Atrasado",IF(I152-TODAY()&lt;=7,"Esta semana","No prazo")))))</f>
        <v/>
      </c>
    </row>
    <row r="153" customFormat="false" ht="15" hidden="false" customHeight="false" outlineLevel="0" collapsed="false">
      <c r="A153" s="93" t="s">
        <v>467</v>
      </c>
      <c r="B153" s="105"/>
      <c r="C153" s="107"/>
      <c r="D153" s="106"/>
      <c r="E153" s="105"/>
      <c r="F153" s="105"/>
      <c r="G153" s="105"/>
      <c r="H153" s="105"/>
      <c r="I153" s="107"/>
      <c r="J153" s="106"/>
      <c r="K153" s="99" t="str">
        <f aca="true">IF(B153="","",IF(J153="Concluído","✔ Concluído",IF(I153="","Sem prazo",IF(I153&lt;TODAY(),"⚠ Atrasado",IF(I153-TODAY()&lt;=7,"Esta semana","No prazo")))))</f>
        <v/>
      </c>
    </row>
    <row r="154" customFormat="false" ht="15" hidden="false" customHeight="false" outlineLevel="0" collapsed="false">
      <c r="A154" s="101" t="s">
        <v>468</v>
      </c>
      <c r="B154" s="102"/>
      <c r="C154" s="104"/>
      <c r="D154" s="103"/>
      <c r="E154" s="102"/>
      <c r="F154" s="102"/>
      <c r="G154" s="102"/>
      <c r="H154" s="102"/>
      <c r="I154" s="104"/>
      <c r="J154" s="103"/>
      <c r="K154" s="99" t="str">
        <f aca="true">IF(B154="","",IF(J154="Concluído","✔ Concluído",IF(I154="","Sem prazo",IF(I154&lt;TODAY(),"⚠ Atrasado",IF(I154-TODAY()&lt;=7,"Esta semana","No prazo")))))</f>
        <v/>
      </c>
    </row>
    <row r="155" customFormat="false" ht="15" hidden="false" customHeight="false" outlineLevel="0" collapsed="false">
      <c r="A155" s="93" t="s">
        <v>469</v>
      </c>
      <c r="B155" s="105"/>
      <c r="C155" s="107"/>
      <c r="D155" s="106"/>
      <c r="E155" s="105"/>
      <c r="F155" s="105"/>
      <c r="G155" s="105"/>
      <c r="H155" s="105"/>
      <c r="I155" s="107"/>
      <c r="J155" s="106"/>
      <c r="K155" s="99" t="str">
        <f aca="true">IF(B155="","",IF(J155="Concluído","✔ Concluído",IF(I155="","Sem prazo",IF(I155&lt;TODAY(),"⚠ Atrasado",IF(I155-TODAY()&lt;=7,"Esta semana","No prazo")))))</f>
        <v/>
      </c>
    </row>
    <row r="156" customFormat="false" ht="15" hidden="false" customHeight="false" outlineLevel="0" collapsed="false">
      <c r="A156" s="101" t="s">
        <v>470</v>
      </c>
      <c r="B156" s="102"/>
      <c r="C156" s="104"/>
      <c r="D156" s="103"/>
      <c r="E156" s="102"/>
      <c r="F156" s="102"/>
      <c r="G156" s="102"/>
      <c r="H156" s="102"/>
      <c r="I156" s="104"/>
      <c r="J156" s="103"/>
      <c r="K156" s="99" t="str">
        <f aca="true">IF(B156="","",IF(J156="Concluído","✔ Concluído",IF(I156="","Sem prazo",IF(I156&lt;TODAY(),"⚠ Atrasado",IF(I156-TODAY()&lt;=7,"Esta semana","No prazo")))))</f>
        <v/>
      </c>
    </row>
    <row r="157" customFormat="false" ht="15" hidden="false" customHeight="false" outlineLevel="0" collapsed="false">
      <c r="A157" s="93" t="s">
        <v>471</v>
      </c>
      <c r="B157" s="105"/>
      <c r="C157" s="107"/>
      <c r="D157" s="106"/>
      <c r="E157" s="105"/>
      <c r="F157" s="105"/>
      <c r="G157" s="105"/>
      <c r="H157" s="105"/>
      <c r="I157" s="107"/>
      <c r="J157" s="106"/>
      <c r="K157" s="99" t="str">
        <f aca="true">IF(B157="","",IF(J157="Concluído","✔ Concluído",IF(I157="","Sem prazo",IF(I157&lt;TODAY(),"⚠ Atrasado",IF(I157-TODAY()&lt;=7,"Esta semana","No prazo")))))</f>
        <v/>
      </c>
    </row>
    <row r="158" customFormat="false" ht="15" hidden="false" customHeight="false" outlineLevel="0" collapsed="false">
      <c r="A158" s="101" t="s">
        <v>472</v>
      </c>
      <c r="B158" s="102"/>
      <c r="C158" s="104"/>
      <c r="D158" s="103"/>
      <c r="E158" s="102"/>
      <c r="F158" s="102"/>
      <c r="G158" s="102"/>
      <c r="H158" s="102"/>
      <c r="I158" s="104"/>
      <c r="J158" s="103"/>
      <c r="K158" s="99" t="str">
        <f aca="true">IF(B158="","",IF(J158="Concluído","✔ Concluído",IF(I158="","Sem prazo",IF(I158&lt;TODAY(),"⚠ Atrasado",IF(I158-TODAY()&lt;=7,"Esta semana","No prazo")))))</f>
        <v/>
      </c>
    </row>
    <row r="159" customFormat="false" ht="15" hidden="false" customHeight="false" outlineLevel="0" collapsed="false">
      <c r="A159" s="93" t="s">
        <v>473</v>
      </c>
      <c r="B159" s="105"/>
      <c r="C159" s="107"/>
      <c r="D159" s="106"/>
      <c r="E159" s="105"/>
      <c r="F159" s="105"/>
      <c r="G159" s="105"/>
      <c r="H159" s="105"/>
      <c r="I159" s="107"/>
      <c r="J159" s="106"/>
      <c r="K159" s="99" t="str">
        <f aca="true">IF(B159="","",IF(J159="Concluído","✔ Concluído",IF(I159="","Sem prazo",IF(I159&lt;TODAY(),"⚠ Atrasado",IF(I159-TODAY()&lt;=7,"Esta semana","No prazo")))))</f>
        <v/>
      </c>
    </row>
    <row r="160" customFormat="false" ht="15" hidden="false" customHeight="false" outlineLevel="0" collapsed="false">
      <c r="A160" s="101" t="s">
        <v>474</v>
      </c>
      <c r="B160" s="102"/>
      <c r="C160" s="104"/>
      <c r="D160" s="103"/>
      <c r="E160" s="102"/>
      <c r="F160" s="102"/>
      <c r="G160" s="102"/>
      <c r="H160" s="102"/>
      <c r="I160" s="104"/>
      <c r="J160" s="103"/>
      <c r="K160" s="99" t="str">
        <f aca="true">IF(B160="","",IF(J160="Concluído","✔ Concluído",IF(I160="","Sem prazo",IF(I160&lt;TODAY(),"⚠ Atrasado",IF(I160-TODAY()&lt;=7,"Esta semana","No prazo")))))</f>
        <v/>
      </c>
    </row>
    <row r="161" customFormat="false" ht="15" hidden="false" customHeight="false" outlineLevel="0" collapsed="false">
      <c r="A161" s="93" t="s">
        <v>475</v>
      </c>
      <c r="B161" s="105"/>
      <c r="C161" s="107"/>
      <c r="D161" s="106"/>
      <c r="E161" s="105"/>
      <c r="F161" s="105"/>
      <c r="G161" s="105"/>
      <c r="H161" s="105"/>
      <c r="I161" s="107"/>
      <c r="J161" s="106"/>
      <c r="K161" s="99" t="str">
        <f aca="true">IF(B161="","",IF(J161="Concluído","✔ Concluído",IF(I161="","Sem prazo",IF(I161&lt;TODAY(),"⚠ Atrasado",IF(I161-TODAY()&lt;=7,"Esta semana","No prazo")))))</f>
        <v/>
      </c>
    </row>
    <row r="162" customFormat="false" ht="15" hidden="false" customHeight="false" outlineLevel="0" collapsed="false">
      <c r="A162" s="101" t="s">
        <v>476</v>
      </c>
      <c r="B162" s="102"/>
      <c r="C162" s="104"/>
      <c r="D162" s="103"/>
      <c r="E162" s="102"/>
      <c r="F162" s="102"/>
      <c r="G162" s="102"/>
      <c r="H162" s="102"/>
      <c r="I162" s="104"/>
      <c r="J162" s="103"/>
      <c r="K162" s="99" t="str">
        <f aca="true">IF(B162="","",IF(J162="Concluído","✔ Concluído",IF(I162="","Sem prazo",IF(I162&lt;TODAY(),"⚠ Atrasado",IF(I162-TODAY()&lt;=7,"Esta semana","No prazo")))))</f>
        <v/>
      </c>
    </row>
    <row r="163" customFormat="false" ht="15" hidden="false" customHeight="false" outlineLevel="0" collapsed="false">
      <c r="A163" s="93" t="s">
        <v>477</v>
      </c>
      <c r="B163" s="105"/>
      <c r="C163" s="107"/>
      <c r="D163" s="106"/>
      <c r="E163" s="105"/>
      <c r="F163" s="105"/>
      <c r="G163" s="105"/>
      <c r="H163" s="105"/>
      <c r="I163" s="107"/>
      <c r="J163" s="106"/>
      <c r="K163" s="99" t="str">
        <f aca="true">IF(B163="","",IF(J163="Concluído","✔ Concluído",IF(I163="","Sem prazo",IF(I163&lt;TODAY(),"⚠ Atrasado",IF(I163-TODAY()&lt;=7,"Esta semana","No prazo")))))</f>
        <v/>
      </c>
    </row>
    <row r="164" customFormat="false" ht="15" hidden="false" customHeight="false" outlineLevel="0" collapsed="false">
      <c r="A164" s="101" t="s">
        <v>478</v>
      </c>
      <c r="B164" s="102"/>
      <c r="C164" s="104"/>
      <c r="D164" s="103"/>
      <c r="E164" s="102"/>
      <c r="F164" s="102"/>
      <c r="G164" s="102"/>
      <c r="H164" s="102"/>
      <c r="I164" s="104"/>
      <c r="J164" s="103"/>
      <c r="K164" s="99" t="str">
        <f aca="true">IF(B164="","",IF(J164="Concluído","✔ Concluído",IF(I164="","Sem prazo",IF(I164&lt;TODAY(),"⚠ Atrasado",IF(I164-TODAY()&lt;=7,"Esta semana","No prazo")))))</f>
        <v/>
      </c>
    </row>
    <row r="165" customFormat="false" ht="15" hidden="false" customHeight="false" outlineLevel="0" collapsed="false">
      <c r="A165" s="93" t="s">
        <v>479</v>
      </c>
      <c r="B165" s="105"/>
      <c r="C165" s="107"/>
      <c r="D165" s="106"/>
      <c r="E165" s="105"/>
      <c r="F165" s="105"/>
      <c r="G165" s="105"/>
      <c r="H165" s="105"/>
      <c r="I165" s="107"/>
      <c r="J165" s="106"/>
      <c r="K165" s="99" t="str">
        <f aca="true">IF(B165="","",IF(J165="Concluído","✔ Concluído",IF(I165="","Sem prazo",IF(I165&lt;TODAY(),"⚠ Atrasado",IF(I165-TODAY()&lt;=7,"Esta semana","No prazo")))))</f>
        <v/>
      </c>
    </row>
    <row r="166" customFormat="false" ht="15" hidden="false" customHeight="false" outlineLevel="0" collapsed="false">
      <c r="A166" s="101" t="s">
        <v>480</v>
      </c>
      <c r="B166" s="102"/>
      <c r="C166" s="104"/>
      <c r="D166" s="103"/>
      <c r="E166" s="102"/>
      <c r="F166" s="102"/>
      <c r="G166" s="102"/>
      <c r="H166" s="102"/>
      <c r="I166" s="104"/>
      <c r="J166" s="103"/>
      <c r="K166" s="99" t="str">
        <f aca="true">IF(B166="","",IF(J166="Concluído","✔ Concluído",IF(I166="","Sem prazo",IF(I166&lt;TODAY(),"⚠ Atrasado",IF(I166-TODAY()&lt;=7,"Esta semana","No prazo")))))</f>
        <v/>
      </c>
    </row>
    <row r="167" customFormat="false" ht="15" hidden="false" customHeight="false" outlineLevel="0" collapsed="false">
      <c r="A167" s="93" t="s">
        <v>481</v>
      </c>
      <c r="B167" s="105"/>
      <c r="C167" s="107"/>
      <c r="D167" s="106"/>
      <c r="E167" s="105"/>
      <c r="F167" s="105"/>
      <c r="G167" s="105"/>
      <c r="H167" s="105"/>
      <c r="I167" s="107"/>
      <c r="J167" s="106"/>
      <c r="K167" s="99" t="str">
        <f aca="true">IF(B167="","",IF(J167="Concluído","✔ Concluído",IF(I167="","Sem prazo",IF(I167&lt;TODAY(),"⚠ Atrasado",IF(I167-TODAY()&lt;=7,"Esta semana","No prazo")))))</f>
        <v/>
      </c>
    </row>
    <row r="168" customFormat="false" ht="15" hidden="false" customHeight="false" outlineLevel="0" collapsed="false">
      <c r="A168" s="101" t="s">
        <v>482</v>
      </c>
      <c r="B168" s="102"/>
      <c r="C168" s="104"/>
      <c r="D168" s="103"/>
      <c r="E168" s="102"/>
      <c r="F168" s="102"/>
      <c r="G168" s="102"/>
      <c r="H168" s="102"/>
      <c r="I168" s="104"/>
      <c r="J168" s="103"/>
      <c r="K168" s="99" t="str">
        <f aca="true">IF(B168="","",IF(J168="Concluído","✔ Concluído",IF(I168="","Sem prazo",IF(I168&lt;TODAY(),"⚠ Atrasado",IF(I168-TODAY()&lt;=7,"Esta semana","No prazo")))))</f>
        <v/>
      </c>
    </row>
    <row r="169" customFormat="false" ht="15" hidden="false" customHeight="false" outlineLevel="0" collapsed="false">
      <c r="A169" s="93" t="s">
        <v>483</v>
      </c>
      <c r="B169" s="105"/>
      <c r="C169" s="107"/>
      <c r="D169" s="106"/>
      <c r="E169" s="105"/>
      <c r="F169" s="105"/>
      <c r="G169" s="105"/>
      <c r="H169" s="105"/>
      <c r="I169" s="107"/>
      <c r="J169" s="106"/>
      <c r="K169" s="99" t="str">
        <f aca="true">IF(B169="","",IF(J169="Concluído","✔ Concluído",IF(I169="","Sem prazo",IF(I169&lt;TODAY(),"⚠ Atrasado",IF(I169-TODAY()&lt;=7,"Esta semana","No prazo")))))</f>
        <v/>
      </c>
    </row>
    <row r="170" customFormat="false" ht="15" hidden="false" customHeight="false" outlineLevel="0" collapsed="false">
      <c r="A170" s="101" t="s">
        <v>484</v>
      </c>
      <c r="B170" s="102"/>
      <c r="C170" s="104"/>
      <c r="D170" s="103"/>
      <c r="E170" s="102"/>
      <c r="F170" s="102"/>
      <c r="G170" s="102"/>
      <c r="H170" s="102"/>
      <c r="I170" s="104"/>
      <c r="J170" s="103"/>
      <c r="K170" s="99" t="str">
        <f aca="true">IF(B170="","",IF(J170="Concluído","✔ Concluído",IF(I170="","Sem prazo",IF(I170&lt;TODAY(),"⚠ Atrasado",IF(I170-TODAY()&lt;=7,"Esta semana","No prazo")))))</f>
        <v/>
      </c>
    </row>
    <row r="171" customFormat="false" ht="15" hidden="false" customHeight="false" outlineLevel="0" collapsed="false">
      <c r="A171" s="93" t="s">
        <v>485</v>
      </c>
      <c r="B171" s="105"/>
      <c r="C171" s="107"/>
      <c r="D171" s="106"/>
      <c r="E171" s="105"/>
      <c r="F171" s="105"/>
      <c r="G171" s="105"/>
      <c r="H171" s="105"/>
      <c r="I171" s="107"/>
      <c r="J171" s="106"/>
      <c r="K171" s="99" t="str">
        <f aca="true">IF(B171="","",IF(J171="Concluído","✔ Concluído",IF(I171="","Sem prazo",IF(I171&lt;TODAY(),"⚠ Atrasado",IF(I171-TODAY()&lt;=7,"Esta semana","No prazo")))))</f>
        <v/>
      </c>
    </row>
    <row r="172" customFormat="false" ht="15" hidden="false" customHeight="false" outlineLevel="0" collapsed="false">
      <c r="A172" s="101" t="s">
        <v>486</v>
      </c>
      <c r="B172" s="102"/>
      <c r="C172" s="104"/>
      <c r="D172" s="103"/>
      <c r="E172" s="102"/>
      <c r="F172" s="102"/>
      <c r="G172" s="102"/>
      <c r="H172" s="102"/>
      <c r="I172" s="104"/>
      <c r="J172" s="103"/>
      <c r="K172" s="99" t="str">
        <f aca="true">IF(B172="","",IF(J172="Concluído","✔ Concluído",IF(I172="","Sem prazo",IF(I172&lt;TODAY(),"⚠ Atrasado",IF(I172-TODAY()&lt;=7,"Esta semana","No prazo")))))</f>
        <v/>
      </c>
    </row>
    <row r="173" customFormat="false" ht="15" hidden="false" customHeight="false" outlineLevel="0" collapsed="false">
      <c r="A173" s="93" t="s">
        <v>487</v>
      </c>
      <c r="B173" s="105"/>
      <c r="C173" s="107"/>
      <c r="D173" s="106"/>
      <c r="E173" s="105"/>
      <c r="F173" s="105"/>
      <c r="G173" s="105"/>
      <c r="H173" s="105"/>
      <c r="I173" s="107"/>
      <c r="J173" s="106"/>
      <c r="K173" s="99" t="str">
        <f aca="true">IF(B173="","",IF(J173="Concluído","✔ Concluído",IF(I173="","Sem prazo",IF(I173&lt;TODAY(),"⚠ Atrasado",IF(I173-TODAY()&lt;=7,"Esta semana","No prazo")))))</f>
        <v/>
      </c>
    </row>
    <row r="174" customFormat="false" ht="15" hidden="false" customHeight="false" outlineLevel="0" collapsed="false">
      <c r="A174" s="101" t="s">
        <v>488</v>
      </c>
      <c r="B174" s="102"/>
      <c r="C174" s="104"/>
      <c r="D174" s="103"/>
      <c r="E174" s="102"/>
      <c r="F174" s="102"/>
      <c r="G174" s="102"/>
      <c r="H174" s="102"/>
      <c r="I174" s="104"/>
      <c r="J174" s="103"/>
      <c r="K174" s="99" t="str">
        <f aca="true">IF(B174="","",IF(J174="Concluído","✔ Concluído",IF(I174="","Sem prazo",IF(I174&lt;TODAY(),"⚠ Atrasado",IF(I174-TODAY()&lt;=7,"Esta semana","No prazo")))))</f>
        <v/>
      </c>
    </row>
    <row r="175" customFormat="false" ht="15" hidden="false" customHeight="false" outlineLevel="0" collapsed="false">
      <c r="A175" s="93" t="s">
        <v>489</v>
      </c>
      <c r="B175" s="105"/>
      <c r="C175" s="107"/>
      <c r="D175" s="106"/>
      <c r="E175" s="105"/>
      <c r="F175" s="105"/>
      <c r="G175" s="105"/>
      <c r="H175" s="105"/>
      <c r="I175" s="107"/>
      <c r="J175" s="106"/>
      <c r="K175" s="99" t="str">
        <f aca="true">IF(B175="","",IF(J175="Concluído","✔ Concluído",IF(I175="","Sem prazo",IF(I175&lt;TODAY(),"⚠ Atrasado",IF(I175-TODAY()&lt;=7,"Esta semana","No prazo")))))</f>
        <v/>
      </c>
    </row>
    <row r="176" customFormat="false" ht="15" hidden="false" customHeight="false" outlineLevel="0" collapsed="false">
      <c r="A176" s="101" t="s">
        <v>490</v>
      </c>
      <c r="B176" s="102"/>
      <c r="C176" s="104"/>
      <c r="D176" s="103"/>
      <c r="E176" s="102"/>
      <c r="F176" s="102"/>
      <c r="G176" s="102"/>
      <c r="H176" s="102"/>
      <c r="I176" s="104"/>
      <c r="J176" s="103"/>
      <c r="K176" s="99" t="str">
        <f aca="true">IF(B176="","",IF(J176="Concluído","✔ Concluído",IF(I176="","Sem prazo",IF(I176&lt;TODAY(),"⚠ Atrasado",IF(I176-TODAY()&lt;=7,"Esta semana","No prazo")))))</f>
        <v/>
      </c>
    </row>
    <row r="177" customFormat="false" ht="15" hidden="false" customHeight="false" outlineLevel="0" collapsed="false">
      <c r="A177" s="93" t="s">
        <v>491</v>
      </c>
      <c r="B177" s="105"/>
      <c r="C177" s="107"/>
      <c r="D177" s="106"/>
      <c r="E177" s="105"/>
      <c r="F177" s="105"/>
      <c r="G177" s="105"/>
      <c r="H177" s="105"/>
      <c r="I177" s="107"/>
      <c r="J177" s="106"/>
      <c r="K177" s="99" t="str">
        <f aca="true">IF(B177="","",IF(J177="Concluído","✔ Concluído",IF(I177="","Sem prazo",IF(I177&lt;TODAY(),"⚠ Atrasado",IF(I177-TODAY()&lt;=7,"Esta semana","No prazo")))))</f>
        <v/>
      </c>
    </row>
    <row r="178" customFormat="false" ht="15" hidden="false" customHeight="false" outlineLevel="0" collapsed="false">
      <c r="A178" s="101" t="s">
        <v>492</v>
      </c>
      <c r="B178" s="102"/>
      <c r="C178" s="104"/>
      <c r="D178" s="103"/>
      <c r="E178" s="102"/>
      <c r="F178" s="102"/>
      <c r="G178" s="102"/>
      <c r="H178" s="102"/>
      <c r="I178" s="104"/>
      <c r="J178" s="103"/>
      <c r="K178" s="99" t="str">
        <f aca="true">IF(B178="","",IF(J178="Concluído","✔ Concluído",IF(I178="","Sem prazo",IF(I178&lt;TODAY(),"⚠ Atrasado",IF(I178-TODAY()&lt;=7,"Esta semana","No prazo")))))</f>
        <v/>
      </c>
    </row>
    <row r="179" customFormat="false" ht="15" hidden="false" customHeight="false" outlineLevel="0" collapsed="false">
      <c r="A179" s="93" t="s">
        <v>493</v>
      </c>
      <c r="B179" s="105"/>
      <c r="C179" s="107"/>
      <c r="D179" s="106"/>
      <c r="E179" s="105"/>
      <c r="F179" s="105"/>
      <c r="G179" s="105"/>
      <c r="H179" s="105"/>
      <c r="I179" s="107"/>
      <c r="J179" s="106"/>
      <c r="K179" s="99" t="str">
        <f aca="true">IF(B179="","",IF(J179="Concluído","✔ Concluído",IF(I179="","Sem prazo",IF(I179&lt;TODAY(),"⚠ Atrasado",IF(I179-TODAY()&lt;=7,"Esta semana","No prazo")))))</f>
        <v/>
      </c>
    </row>
    <row r="180" customFormat="false" ht="15" hidden="false" customHeight="false" outlineLevel="0" collapsed="false">
      <c r="A180" s="101" t="s">
        <v>494</v>
      </c>
      <c r="B180" s="102"/>
      <c r="C180" s="104"/>
      <c r="D180" s="103"/>
      <c r="E180" s="102"/>
      <c r="F180" s="102"/>
      <c r="G180" s="102"/>
      <c r="H180" s="102"/>
      <c r="I180" s="104"/>
      <c r="J180" s="103"/>
      <c r="K180" s="99" t="str">
        <f aca="true">IF(B180="","",IF(J180="Concluído","✔ Concluído",IF(I180="","Sem prazo",IF(I180&lt;TODAY(),"⚠ Atrasado",IF(I180-TODAY()&lt;=7,"Esta semana","No prazo")))))</f>
        <v/>
      </c>
    </row>
    <row r="181" customFormat="false" ht="15" hidden="false" customHeight="false" outlineLevel="0" collapsed="false">
      <c r="A181" s="93" t="s">
        <v>495</v>
      </c>
      <c r="B181" s="105"/>
      <c r="C181" s="107"/>
      <c r="D181" s="106"/>
      <c r="E181" s="105"/>
      <c r="F181" s="105"/>
      <c r="G181" s="105"/>
      <c r="H181" s="105"/>
      <c r="I181" s="107"/>
      <c r="J181" s="106"/>
      <c r="K181" s="99" t="str">
        <f aca="true">IF(B181="","",IF(J181="Concluído","✔ Concluído",IF(I181="","Sem prazo",IF(I181&lt;TODAY(),"⚠ Atrasado",IF(I181-TODAY()&lt;=7,"Esta semana","No prazo")))))</f>
        <v/>
      </c>
    </row>
    <row r="182" customFormat="false" ht="15" hidden="false" customHeight="false" outlineLevel="0" collapsed="false">
      <c r="A182" s="101" t="s">
        <v>496</v>
      </c>
      <c r="B182" s="102"/>
      <c r="C182" s="104"/>
      <c r="D182" s="103"/>
      <c r="E182" s="102"/>
      <c r="F182" s="102"/>
      <c r="G182" s="102"/>
      <c r="H182" s="102"/>
      <c r="I182" s="104"/>
      <c r="J182" s="103"/>
      <c r="K182" s="99" t="str">
        <f aca="true">IF(B182="","",IF(J182="Concluído","✔ Concluído",IF(I182="","Sem prazo",IF(I182&lt;TODAY(),"⚠ Atrasado",IF(I182-TODAY()&lt;=7,"Esta semana","No prazo")))))</f>
        <v/>
      </c>
    </row>
    <row r="183" customFormat="false" ht="15" hidden="false" customHeight="false" outlineLevel="0" collapsed="false">
      <c r="A183" s="93" t="s">
        <v>497</v>
      </c>
      <c r="B183" s="105"/>
      <c r="C183" s="107"/>
      <c r="D183" s="106"/>
      <c r="E183" s="105"/>
      <c r="F183" s="105"/>
      <c r="G183" s="105"/>
      <c r="H183" s="105"/>
      <c r="I183" s="107"/>
      <c r="J183" s="106"/>
      <c r="K183" s="99" t="str">
        <f aca="true">IF(B183="","",IF(J183="Concluído","✔ Concluído",IF(I183="","Sem prazo",IF(I183&lt;TODAY(),"⚠ Atrasado",IF(I183-TODAY()&lt;=7,"Esta semana","No prazo")))))</f>
        <v/>
      </c>
    </row>
    <row r="184" customFormat="false" ht="15" hidden="false" customHeight="false" outlineLevel="0" collapsed="false">
      <c r="A184" s="101" t="s">
        <v>498</v>
      </c>
      <c r="B184" s="102"/>
      <c r="C184" s="104"/>
      <c r="D184" s="103"/>
      <c r="E184" s="102"/>
      <c r="F184" s="102"/>
      <c r="G184" s="102"/>
      <c r="H184" s="102"/>
      <c r="I184" s="104"/>
      <c r="J184" s="103"/>
      <c r="K184" s="99" t="str">
        <f aca="true">IF(B184="","",IF(J184="Concluído","✔ Concluído",IF(I184="","Sem prazo",IF(I184&lt;TODAY(),"⚠ Atrasado",IF(I184-TODAY()&lt;=7,"Esta semana","No prazo")))))</f>
        <v/>
      </c>
    </row>
    <row r="185" customFormat="false" ht="15" hidden="false" customHeight="false" outlineLevel="0" collapsed="false">
      <c r="A185" s="93" t="s">
        <v>499</v>
      </c>
      <c r="B185" s="105"/>
      <c r="C185" s="107"/>
      <c r="D185" s="106"/>
      <c r="E185" s="105"/>
      <c r="F185" s="105"/>
      <c r="G185" s="105"/>
      <c r="H185" s="105"/>
      <c r="I185" s="107"/>
      <c r="J185" s="106"/>
      <c r="K185" s="99" t="str">
        <f aca="true">IF(B185="","",IF(J185="Concluído","✔ Concluído",IF(I185="","Sem prazo",IF(I185&lt;TODAY(),"⚠ Atrasado",IF(I185-TODAY()&lt;=7,"Esta semana","No prazo")))))</f>
        <v/>
      </c>
    </row>
    <row r="186" customFormat="false" ht="15" hidden="false" customHeight="false" outlineLevel="0" collapsed="false">
      <c r="A186" s="101" t="s">
        <v>500</v>
      </c>
      <c r="B186" s="102"/>
      <c r="C186" s="104"/>
      <c r="D186" s="103"/>
      <c r="E186" s="102"/>
      <c r="F186" s="102"/>
      <c r="G186" s="102"/>
      <c r="H186" s="102"/>
      <c r="I186" s="104"/>
      <c r="J186" s="103"/>
      <c r="K186" s="99" t="str">
        <f aca="true">IF(B186="","",IF(J186="Concluído","✔ Concluído",IF(I186="","Sem prazo",IF(I186&lt;TODAY(),"⚠ Atrasado",IF(I186-TODAY()&lt;=7,"Esta semana","No prazo")))))</f>
        <v/>
      </c>
    </row>
    <row r="187" customFormat="false" ht="15" hidden="false" customHeight="false" outlineLevel="0" collapsed="false">
      <c r="A187" s="93" t="s">
        <v>501</v>
      </c>
      <c r="B187" s="105"/>
      <c r="C187" s="107"/>
      <c r="D187" s="106"/>
      <c r="E187" s="105"/>
      <c r="F187" s="105"/>
      <c r="G187" s="105"/>
      <c r="H187" s="105"/>
      <c r="I187" s="107"/>
      <c r="J187" s="106"/>
      <c r="K187" s="99" t="str">
        <f aca="true">IF(B187="","",IF(J187="Concluído","✔ Concluído",IF(I187="","Sem prazo",IF(I187&lt;TODAY(),"⚠ Atrasado",IF(I187-TODAY()&lt;=7,"Esta semana","No prazo")))))</f>
        <v/>
      </c>
    </row>
    <row r="188" customFormat="false" ht="15" hidden="false" customHeight="false" outlineLevel="0" collapsed="false">
      <c r="A188" s="101" t="s">
        <v>502</v>
      </c>
      <c r="B188" s="102"/>
      <c r="C188" s="104"/>
      <c r="D188" s="103"/>
      <c r="E188" s="102"/>
      <c r="F188" s="102"/>
      <c r="G188" s="102"/>
      <c r="H188" s="102"/>
      <c r="I188" s="104"/>
      <c r="J188" s="103"/>
      <c r="K188" s="99" t="str">
        <f aca="true">IF(B188="","",IF(J188="Concluído","✔ Concluído",IF(I188="","Sem prazo",IF(I188&lt;TODAY(),"⚠ Atrasado",IF(I188-TODAY()&lt;=7,"Esta semana","No prazo")))))</f>
        <v/>
      </c>
    </row>
    <row r="189" customFormat="false" ht="15" hidden="false" customHeight="false" outlineLevel="0" collapsed="false">
      <c r="A189" s="93" t="s">
        <v>503</v>
      </c>
      <c r="B189" s="105"/>
      <c r="C189" s="107"/>
      <c r="D189" s="106"/>
      <c r="E189" s="105"/>
      <c r="F189" s="105"/>
      <c r="G189" s="105"/>
      <c r="H189" s="105"/>
      <c r="I189" s="107"/>
      <c r="J189" s="106"/>
      <c r="K189" s="99" t="str">
        <f aca="true">IF(B189="","",IF(J189="Concluído","✔ Concluído",IF(I189="","Sem prazo",IF(I189&lt;TODAY(),"⚠ Atrasado",IF(I189-TODAY()&lt;=7,"Esta semana","No prazo")))))</f>
        <v/>
      </c>
    </row>
    <row r="190" customFormat="false" ht="15" hidden="false" customHeight="false" outlineLevel="0" collapsed="false">
      <c r="A190" s="101" t="s">
        <v>504</v>
      </c>
      <c r="B190" s="102"/>
      <c r="C190" s="104"/>
      <c r="D190" s="103"/>
      <c r="E190" s="102"/>
      <c r="F190" s="102"/>
      <c r="G190" s="102"/>
      <c r="H190" s="102"/>
      <c r="I190" s="104"/>
      <c r="J190" s="103"/>
      <c r="K190" s="99" t="str">
        <f aca="true">IF(B190="","",IF(J190="Concluído","✔ Concluído",IF(I190="","Sem prazo",IF(I190&lt;TODAY(),"⚠ Atrasado",IF(I190-TODAY()&lt;=7,"Esta semana","No prazo")))))</f>
        <v/>
      </c>
    </row>
    <row r="191" customFormat="false" ht="15" hidden="false" customHeight="false" outlineLevel="0" collapsed="false">
      <c r="A191" s="93" t="s">
        <v>505</v>
      </c>
      <c r="B191" s="105"/>
      <c r="C191" s="107"/>
      <c r="D191" s="106"/>
      <c r="E191" s="105"/>
      <c r="F191" s="105"/>
      <c r="G191" s="105"/>
      <c r="H191" s="105"/>
      <c r="I191" s="107"/>
      <c r="J191" s="106"/>
      <c r="K191" s="99" t="str">
        <f aca="true">IF(B191="","",IF(J191="Concluído","✔ Concluído",IF(I191="","Sem prazo",IF(I191&lt;TODAY(),"⚠ Atrasado",IF(I191-TODAY()&lt;=7,"Esta semana","No prazo")))))</f>
        <v/>
      </c>
    </row>
    <row r="192" customFormat="false" ht="15" hidden="false" customHeight="false" outlineLevel="0" collapsed="false">
      <c r="A192" s="101" t="s">
        <v>506</v>
      </c>
      <c r="B192" s="102"/>
      <c r="C192" s="104"/>
      <c r="D192" s="103"/>
      <c r="E192" s="102"/>
      <c r="F192" s="102"/>
      <c r="G192" s="102"/>
      <c r="H192" s="102"/>
      <c r="I192" s="104"/>
      <c r="J192" s="103"/>
      <c r="K192" s="99" t="str">
        <f aca="true">IF(B192="","",IF(J192="Concluído","✔ Concluído",IF(I192="","Sem prazo",IF(I192&lt;TODAY(),"⚠ Atrasado",IF(I192-TODAY()&lt;=7,"Esta semana","No prazo")))))</f>
        <v/>
      </c>
    </row>
    <row r="193" customFormat="false" ht="15" hidden="false" customHeight="false" outlineLevel="0" collapsed="false">
      <c r="A193" s="93" t="s">
        <v>507</v>
      </c>
      <c r="B193" s="105"/>
      <c r="C193" s="107"/>
      <c r="D193" s="106"/>
      <c r="E193" s="105"/>
      <c r="F193" s="105"/>
      <c r="G193" s="105"/>
      <c r="H193" s="105"/>
      <c r="I193" s="107"/>
      <c r="J193" s="106"/>
      <c r="K193" s="99" t="str">
        <f aca="true">IF(B193="","",IF(J193="Concluído","✔ Concluído",IF(I193="","Sem prazo",IF(I193&lt;TODAY(),"⚠ Atrasado",IF(I193-TODAY()&lt;=7,"Esta semana","No prazo")))))</f>
        <v/>
      </c>
    </row>
    <row r="194" customFormat="false" ht="15" hidden="false" customHeight="false" outlineLevel="0" collapsed="false">
      <c r="A194" s="101" t="s">
        <v>508</v>
      </c>
      <c r="B194" s="102"/>
      <c r="C194" s="104"/>
      <c r="D194" s="103"/>
      <c r="E194" s="102"/>
      <c r="F194" s="102"/>
      <c r="G194" s="102"/>
      <c r="H194" s="102"/>
      <c r="I194" s="104"/>
      <c r="J194" s="103"/>
      <c r="K194" s="99" t="str">
        <f aca="true">IF(B194="","",IF(J194="Concluído","✔ Concluído",IF(I194="","Sem prazo",IF(I194&lt;TODAY(),"⚠ Atrasado",IF(I194-TODAY()&lt;=7,"Esta semana","No prazo")))))</f>
        <v/>
      </c>
    </row>
    <row r="195" customFormat="false" ht="15" hidden="false" customHeight="false" outlineLevel="0" collapsed="false">
      <c r="A195" s="93" t="s">
        <v>509</v>
      </c>
      <c r="B195" s="105"/>
      <c r="C195" s="107"/>
      <c r="D195" s="106"/>
      <c r="E195" s="105"/>
      <c r="F195" s="105"/>
      <c r="G195" s="105"/>
      <c r="H195" s="105"/>
      <c r="I195" s="107"/>
      <c r="J195" s="106"/>
      <c r="K195" s="99" t="str">
        <f aca="true">IF(B195="","",IF(J195="Concluído","✔ Concluído",IF(I195="","Sem prazo",IF(I195&lt;TODAY(),"⚠ Atrasado",IF(I195-TODAY()&lt;=7,"Esta semana","No prazo")))))</f>
        <v/>
      </c>
    </row>
    <row r="196" customFormat="false" ht="15" hidden="false" customHeight="false" outlineLevel="0" collapsed="false">
      <c r="A196" s="101" t="s">
        <v>510</v>
      </c>
      <c r="B196" s="102"/>
      <c r="C196" s="104"/>
      <c r="D196" s="103"/>
      <c r="E196" s="102"/>
      <c r="F196" s="102"/>
      <c r="G196" s="102"/>
      <c r="H196" s="102"/>
      <c r="I196" s="104"/>
      <c r="J196" s="103"/>
      <c r="K196" s="99" t="str">
        <f aca="true">IF(B196="","",IF(J196="Concluído","✔ Concluído",IF(I196="","Sem prazo",IF(I196&lt;TODAY(),"⚠ Atrasado",IF(I196-TODAY()&lt;=7,"Esta semana","No prazo")))))</f>
        <v/>
      </c>
    </row>
    <row r="197" customFormat="false" ht="15" hidden="false" customHeight="false" outlineLevel="0" collapsed="false">
      <c r="A197" s="93" t="s">
        <v>511</v>
      </c>
      <c r="B197" s="105"/>
      <c r="C197" s="107"/>
      <c r="D197" s="106"/>
      <c r="E197" s="105"/>
      <c r="F197" s="105"/>
      <c r="G197" s="105"/>
      <c r="H197" s="105"/>
      <c r="I197" s="107"/>
      <c r="J197" s="106"/>
      <c r="K197" s="99" t="str">
        <f aca="true">IF(B197="","",IF(J197="Concluído","✔ Concluído",IF(I197="","Sem prazo",IF(I197&lt;TODAY(),"⚠ Atrasado",IF(I197-TODAY()&lt;=7,"Esta semana","No prazo")))))</f>
        <v/>
      </c>
    </row>
    <row r="198" customFormat="false" ht="15" hidden="false" customHeight="false" outlineLevel="0" collapsed="false">
      <c r="A198" s="101" t="s">
        <v>512</v>
      </c>
      <c r="B198" s="102"/>
      <c r="C198" s="104"/>
      <c r="D198" s="103"/>
      <c r="E198" s="102"/>
      <c r="F198" s="102"/>
      <c r="G198" s="102"/>
      <c r="H198" s="102"/>
      <c r="I198" s="104"/>
      <c r="J198" s="103"/>
      <c r="K198" s="99" t="str">
        <f aca="true">IF(B198="","",IF(J198="Concluído","✔ Concluído",IF(I198="","Sem prazo",IF(I198&lt;TODAY(),"⚠ Atrasado",IF(I198-TODAY()&lt;=7,"Esta semana","No prazo")))))</f>
        <v/>
      </c>
    </row>
    <row r="199" customFormat="false" ht="15" hidden="false" customHeight="false" outlineLevel="0" collapsed="false">
      <c r="A199" s="93" t="s">
        <v>513</v>
      </c>
      <c r="B199" s="105"/>
      <c r="C199" s="107"/>
      <c r="D199" s="106"/>
      <c r="E199" s="105"/>
      <c r="F199" s="105"/>
      <c r="G199" s="105"/>
      <c r="H199" s="105"/>
      <c r="I199" s="107"/>
      <c r="J199" s="106"/>
      <c r="K199" s="99" t="str">
        <f aca="true">IF(B199="","",IF(J199="Concluído","✔ Concluído",IF(I199="","Sem prazo",IF(I199&lt;TODAY(),"⚠ Atrasado",IF(I199-TODAY()&lt;=7,"Esta semana","No prazo")))))</f>
        <v/>
      </c>
    </row>
    <row r="200" customFormat="false" ht="15" hidden="false" customHeight="false" outlineLevel="0" collapsed="false">
      <c r="A200" s="101" t="s">
        <v>514</v>
      </c>
      <c r="B200" s="102"/>
      <c r="C200" s="104"/>
      <c r="D200" s="103"/>
      <c r="E200" s="102"/>
      <c r="F200" s="102"/>
      <c r="G200" s="102"/>
      <c r="H200" s="102"/>
      <c r="I200" s="104"/>
      <c r="J200" s="103"/>
      <c r="K200" s="99" t="str">
        <f aca="true">IF(B200="","",IF(J200="Concluído","✔ Concluído",IF(I200="","Sem prazo",IF(I200&lt;TODAY(),"⚠ Atrasado",IF(I200-TODAY()&lt;=7,"Esta semana","No prazo")))))</f>
        <v/>
      </c>
    </row>
    <row r="201" customFormat="false" ht="15" hidden="false" customHeight="false" outlineLevel="0" collapsed="false">
      <c r="A201" s="93" t="s">
        <v>515</v>
      </c>
      <c r="B201" s="105"/>
      <c r="C201" s="107"/>
      <c r="D201" s="106"/>
      <c r="E201" s="105"/>
      <c r="F201" s="105"/>
      <c r="G201" s="105"/>
      <c r="H201" s="105"/>
      <c r="I201" s="107"/>
      <c r="J201" s="106"/>
      <c r="K201" s="99" t="str">
        <f aca="true">IF(B201="","",IF(J201="Concluído","✔ Concluído",IF(I201="","Sem prazo",IF(I201&lt;TODAY(),"⚠ Atrasado",IF(I201-TODAY()&lt;=7,"Esta semana","No prazo")))))</f>
        <v/>
      </c>
    </row>
    <row r="202" customFormat="false" ht="15" hidden="false" customHeight="false" outlineLevel="0" collapsed="false">
      <c r="A202" s="101" t="s">
        <v>516</v>
      </c>
      <c r="B202" s="102"/>
      <c r="C202" s="104"/>
      <c r="D202" s="103"/>
      <c r="E202" s="102"/>
      <c r="F202" s="102"/>
      <c r="G202" s="102"/>
      <c r="H202" s="102"/>
      <c r="I202" s="104"/>
      <c r="J202" s="103"/>
      <c r="K202" s="99" t="str">
        <f aca="true">IF(B202="","",IF(J202="Concluído","✔ Concluído",IF(I202="","Sem prazo",IF(I202&lt;TODAY(),"⚠ Atrasado",IF(I202-TODAY()&lt;=7,"Esta semana","No prazo")))))</f>
        <v/>
      </c>
    </row>
    <row r="203" customFormat="false" ht="15" hidden="false" customHeight="false" outlineLevel="0" collapsed="false">
      <c r="A203" s="93" t="s">
        <v>517</v>
      </c>
      <c r="B203" s="105"/>
      <c r="C203" s="107"/>
      <c r="D203" s="106"/>
      <c r="E203" s="105"/>
      <c r="F203" s="105"/>
      <c r="G203" s="105"/>
      <c r="H203" s="105"/>
      <c r="I203" s="107"/>
      <c r="J203" s="106"/>
      <c r="K203" s="99" t="str">
        <f aca="true">IF(B203="","",IF(J203="Concluído","✔ Concluído",IF(I203="","Sem prazo",IF(I203&lt;TODAY(),"⚠ Atrasado",IF(I203-TODAY()&lt;=7,"Esta semana","No prazo")))))</f>
        <v/>
      </c>
    </row>
    <row r="204" customFormat="false" ht="15" hidden="false" customHeight="false" outlineLevel="0" collapsed="false">
      <c r="A204" s="101" t="s">
        <v>518</v>
      </c>
      <c r="B204" s="102"/>
      <c r="C204" s="104"/>
      <c r="D204" s="103"/>
      <c r="E204" s="102"/>
      <c r="F204" s="102"/>
      <c r="G204" s="102"/>
      <c r="H204" s="102"/>
      <c r="I204" s="104"/>
      <c r="J204" s="103"/>
      <c r="K204" s="99" t="str">
        <f aca="true">IF(B204="","",IF(J204="Concluído","✔ Concluído",IF(I204="","Sem prazo",IF(I204&lt;TODAY(),"⚠ Atrasado",IF(I204-TODAY()&lt;=7,"Esta semana","No prazo")))))</f>
        <v/>
      </c>
    </row>
  </sheetData>
  <autoFilter ref="A4:K204"/>
  <mergeCells count="3">
    <mergeCell ref="A3:E3"/>
    <mergeCell ref="F3:G3"/>
    <mergeCell ref="H3:K3"/>
  </mergeCells>
  <conditionalFormatting sqref="A5:A500">
    <cfRule type="expression" priority="2" aboveAverage="0" equalAverage="0" bottom="0" percent="0" rank="0" text="" dxfId="13">
      <formula>$B5&lt;&gt;""</formula>
    </cfRule>
  </conditionalFormatting>
  <conditionalFormatting sqref="K5:K500">
    <cfRule type="expression" priority="3" aboveAverage="0" equalAverage="0" bottom="0" percent="0" rank="0" text="" dxfId="20">
      <formula>ISNUMBER(SEARCH("Atrasado",$K5))</formula>
    </cfRule>
    <cfRule type="expression" priority="4" aboveAverage="0" equalAverage="0" bottom="0" percent="0" rank="0" text="" dxfId="21">
      <formula>$K5="Esta semana"</formula>
    </cfRule>
    <cfRule type="expression" priority="5" aboveAverage="0" equalAverage="0" bottom="0" percent="0" rank="0" text="" dxfId="16">
      <formula>$K5="No prazo"</formula>
    </cfRule>
    <cfRule type="expression" priority="6" aboveAverage="0" equalAverage="0" bottom="0" percent="0" rank="0" text="" dxfId="14">
      <formula>ISNUMBER(SEARCH("Conclu",$K5))</formula>
    </cfRule>
  </conditionalFormatting>
  <conditionalFormatting sqref="J5:J500">
    <cfRule type="expression" priority="7" aboveAverage="0" equalAverage="0" bottom="0" percent="0" rank="0" text="" dxfId="17">
      <formula>$J5="Pendente"</formula>
    </cfRule>
    <cfRule type="expression" priority="8" aboveAverage="0" equalAverage="0" bottom="0" percent="0" rank="0" text="" dxfId="15">
      <formula>$J5="Em andamento"</formula>
    </cfRule>
    <cfRule type="expression" priority="9" aboveAverage="0" equalAverage="0" bottom="0" percent="0" rank="0" text="" dxfId="16">
      <formula>$J5="Concluído"</formula>
    </cfRule>
  </conditionalFormatting>
  <dataValidations count="4">
    <dataValidation allowBlank="true" error="Digite uma data válida no formato dd/mm/aaaa." errorStyle="stop" errorTitle="Data inválida" operator="greaterThan" showDropDown="false" showErrorMessage="true" showInputMessage="false" sqref="C5:C500 I5:I500" type="date">
      <formula1>36526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B5:B500" type="list">
      <formula1>lst_Fontes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D5:D500" type="list">
      <formula1>lst_FormatoConversa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J5:J500" type="list">
      <formula1>lst_SitPasso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7C20"/>
    <pageSetUpPr fitToPage="true"/>
  </sheetPr>
  <dimension ref="A1:R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.51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5" min="5" style="0" width="17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34"/>
    <col collapsed="false" customWidth="true" hidden="false" outlineLevel="0" max="12" min="12" style="0" width="22"/>
    <col collapsed="false" customWidth="true" hidden="false" outlineLevel="0" max="13" min="13" style="0" width="17"/>
    <col collapsed="false" customWidth="true" hidden="false" outlineLevel="0" max="15" min="14" style="0" width="12"/>
    <col collapsed="false" customWidth="true" hidden="false" outlineLevel="0" max="16" min="16" style="0" width="17"/>
    <col collapsed="false" customWidth="true" hidden="false" outlineLevel="0" max="17" min="17" style="0" width="34"/>
    <col collapsed="false" customWidth="true" hidden="true" outlineLevel="1" max="18" min="18" style="0" width="30"/>
  </cols>
  <sheetData>
    <row r="1" customFormat="false" ht="31.5" hidden="false" customHeight="true" outlineLevel="0" collapsed="false">
      <c r="A1" s="83" t="s">
        <v>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108" t="s">
        <v>70</v>
      </c>
      <c r="B2" s="109" t="str">
        <f aca="false">"Problemas que o CEMP tem ou pode ter em: Geral (CEMP inteiro)   ·   "&amp;COUNTA(B5:B500)&amp;" registro(s)"</f>
        <v>Problemas que o CEMP tem ou pode ter em: Geral (CEMP inteiro)   ·   1 registro(s)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</row>
    <row r="3" customFormat="false" ht="16.5" hidden="false" customHeight="true" outlineLevel="0" collapsed="false">
      <c r="A3" s="87" t="s">
        <v>520</v>
      </c>
      <c r="B3" s="87"/>
      <c r="C3" s="87"/>
      <c r="D3" s="87"/>
      <c r="E3" s="87"/>
      <c r="F3" s="87"/>
      <c r="G3" s="88" t="s">
        <v>521</v>
      </c>
      <c r="H3" s="88"/>
      <c r="I3" s="88"/>
      <c r="J3" s="88"/>
      <c r="K3" s="89" t="s">
        <v>522</v>
      </c>
      <c r="L3" s="89"/>
      <c r="M3" s="89"/>
      <c r="N3" s="89"/>
      <c r="O3" s="90" t="s">
        <v>523</v>
      </c>
      <c r="P3" s="90"/>
      <c r="Q3" s="90"/>
      <c r="R3" s="90"/>
    </row>
    <row r="4" customFormat="false" ht="42" hidden="false" customHeight="true" outlineLevel="0" collapsed="false">
      <c r="A4" s="111" t="s">
        <v>118</v>
      </c>
      <c r="B4" s="111" t="s">
        <v>524</v>
      </c>
      <c r="C4" s="111" t="s">
        <v>525</v>
      </c>
      <c r="D4" s="111" t="s">
        <v>526</v>
      </c>
      <c r="E4" s="111" t="s">
        <v>527</v>
      </c>
      <c r="F4" s="111" t="s">
        <v>528</v>
      </c>
      <c r="G4" s="111" t="s">
        <v>529</v>
      </c>
      <c r="H4" s="111" t="s">
        <v>530</v>
      </c>
      <c r="I4" s="112" t="s">
        <v>531</v>
      </c>
      <c r="J4" s="112" t="s">
        <v>532</v>
      </c>
      <c r="K4" s="111" t="s">
        <v>533</v>
      </c>
      <c r="L4" s="111" t="s">
        <v>534</v>
      </c>
      <c r="M4" s="111" t="s">
        <v>97</v>
      </c>
      <c r="N4" s="112" t="s">
        <v>535</v>
      </c>
      <c r="O4" s="111" t="s">
        <v>536</v>
      </c>
      <c r="P4" s="111" t="s">
        <v>537</v>
      </c>
      <c r="Q4" s="111" t="s">
        <v>538</v>
      </c>
      <c r="R4" s="112" t="s">
        <v>136</v>
      </c>
    </row>
    <row r="5" customFormat="false" ht="35.05" hidden="false" customHeight="false" outlineLevel="0" collapsed="false">
      <c r="A5" s="93" t="s">
        <v>539</v>
      </c>
      <c r="B5" s="94" t="s">
        <v>540</v>
      </c>
      <c r="C5" s="94" t="s">
        <v>541</v>
      </c>
      <c r="D5" s="94" t="s">
        <v>542</v>
      </c>
      <c r="E5" s="95" t="s">
        <v>80</v>
      </c>
      <c r="F5" s="94" t="s">
        <v>543</v>
      </c>
      <c r="G5" s="95" t="n">
        <v>4</v>
      </c>
      <c r="H5" s="95" t="n">
        <v>4</v>
      </c>
      <c r="I5" s="96" t="n">
        <f aca="false">IF(OR(G5="",H5=""),"",G5*H5)</f>
        <v>16</v>
      </c>
      <c r="J5" s="99" t="str">
        <f aca="false">IF(I5="","",IF(I5&gt;=15,"Crítica",IF(I5&gt;=9,"Alta",IF(I5&gt;=4,"Média","Baixa"))))</f>
        <v>Crítica</v>
      </c>
      <c r="K5" s="94" t="s">
        <v>544</v>
      </c>
      <c r="L5" s="94" t="s">
        <v>545</v>
      </c>
      <c r="M5" s="95" t="s">
        <v>546</v>
      </c>
      <c r="N5" s="96" t="n">
        <f aca="false">IF(B5="","",COUNTIF('Geral - Soluções'!$C$5:$C$500,A5&amp;"*"))</f>
        <v>1</v>
      </c>
      <c r="O5" s="98" t="n">
        <v>46293</v>
      </c>
      <c r="P5" s="94" t="s">
        <v>547</v>
      </c>
      <c r="Q5" s="94" t="s">
        <v>548</v>
      </c>
      <c r="R5" s="100" t="str">
        <f aca="false">IF(B5="","",A5&amp;" · "&amp;B5)</f>
        <v>GER-P001 · [EXEMPLO] Baixa retenção de membros após o processo seletivo</v>
      </c>
    </row>
    <row r="6" customFormat="false" ht="15" hidden="false" customHeight="false" outlineLevel="0" collapsed="false">
      <c r="A6" s="101" t="s">
        <v>549</v>
      </c>
      <c r="B6" s="102"/>
      <c r="C6" s="102"/>
      <c r="D6" s="102"/>
      <c r="E6" s="103"/>
      <c r="F6" s="102"/>
      <c r="G6" s="103"/>
      <c r="H6" s="103"/>
      <c r="I6" s="96" t="str">
        <f aca="false">IF(OR(G6="",H6=""),"",G6*H6)</f>
        <v/>
      </c>
      <c r="J6" s="99" t="str">
        <f aca="false">IF(I6="","",IF(I6&gt;=15,"Crítica",IF(I6&gt;=9,"Alta",IF(I6&gt;=4,"Média","Baixa"))))</f>
        <v/>
      </c>
      <c r="K6" s="102"/>
      <c r="L6" s="102"/>
      <c r="M6" s="103"/>
      <c r="N6" s="96" t="str">
        <f aca="false">IF(B6="","",COUNTIF('Geral - Soluções'!$C$5:$C$500,A6&amp;"*"))</f>
        <v/>
      </c>
      <c r="O6" s="104"/>
      <c r="P6" s="102"/>
      <c r="Q6" s="102"/>
      <c r="R6" s="100" t="str">
        <f aca="false">IF(B6="","",A6&amp;" · "&amp;B6)</f>
        <v/>
      </c>
    </row>
    <row r="7" customFormat="false" ht="15" hidden="false" customHeight="false" outlineLevel="0" collapsed="false">
      <c r="A7" s="93" t="s">
        <v>550</v>
      </c>
      <c r="B7" s="105"/>
      <c r="C7" s="105"/>
      <c r="D7" s="105"/>
      <c r="E7" s="106"/>
      <c r="F7" s="105"/>
      <c r="G7" s="106"/>
      <c r="H7" s="106"/>
      <c r="I7" s="96" t="str">
        <f aca="false">IF(OR(G7="",H7=""),"",G7*H7)</f>
        <v/>
      </c>
      <c r="J7" s="99" t="str">
        <f aca="false">IF(I7="","",IF(I7&gt;=15,"Crítica",IF(I7&gt;=9,"Alta",IF(I7&gt;=4,"Média","Baixa"))))</f>
        <v/>
      </c>
      <c r="K7" s="105"/>
      <c r="L7" s="105"/>
      <c r="M7" s="106"/>
      <c r="N7" s="96" t="str">
        <f aca="false">IF(B7="","",COUNTIF('Geral - Soluções'!$C$5:$C$500,A7&amp;"*"))</f>
        <v/>
      </c>
      <c r="O7" s="107"/>
      <c r="P7" s="105"/>
      <c r="Q7" s="105"/>
      <c r="R7" s="100" t="str">
        <f aca="false">IF(B7="","",A7&amp;" · "&amp;B7)</f>
        <v/>
      </c>
    </row>
    <row r="8" customFormat="false" ht="15" hidden="false" customHeight="false" outlineLevel="0" collapsed="false">
      <c r="A8" s="101" t="s">
        <v>551</v>
      </c>
      <c r="B8" s="102"/>
      <c r="C8" s="102"/>
      <c r="D8" s="102"/>
      <c r="E8" s="103"/>
      <c r="F8" s="102"/>
      <c r="G8" s="103"/>
      <c r="H8" s="103"/>
      <c r="I8" s="96" t="str">
        <f aca="false">IF(OR(G8="",H8=""),"",G8*H8)</f>
        <v/>
      </c>
      <c r="J8" s="99" t="str">
        <f aca="false">IF(I8="","",IF(I8&gt;=15,"Crítica",IF(I8&gt;=9,"Alta",IF(I8&gt;=4,"Média","Baixa"))))</f>
        <v/>
      </c>
      <c r="K8" s="102"/>
      <c r="L8" s="102"/>
      <c r="M8" s="103"/>
      <c r="N8" s="96" t="str">
        <f aca="false">IF(B8="","",COUNTIF('Geral - Soluções'!$C$5:$C$500,A8&amp;"*"))</f>
        <v/>
      </c>
      <c r="O8" s="104"/>
      <c r="P8" s="102"/>
      <c r="Q8" s="102"/>
      <c r="R8" s="100" t="str">
        <f aca="false">IF(B8="","",A8&amp;" · "&amp;B8)</f>
        <v/>
      </c>
    </row>
    <row r="9" customFormat="false" ht="15" hidden="false" customHeight="false" outlineLevel="0" collapsed="false">
      <c r="A9" s="93" t="s">
        <v>552</v>
      </c>
      <c r="B9" s="105"/>
      <c r="C9" s="105"/>
      <c r="D9" s="105"/>
      <c r="E9" s="106"/>
      <c r="F9" s="105"/>
      <c r="G9" s="106"/>
      <c r="H9" s="106"/>
      <c r="I9" s="96" t="str">
        <f aca="false">IF(OR(G9="",H9=""),"",G9*H9)</f>
        <v/>
      </c>
      <c r="J9" s="99" t="str">
        <f aca="false">IF(I9="","",IF(I9&gt;=15,"Crítica",IF(I9&gt;=9,"Alta",IF(I9&gt;=4,"Média","Baixa"))))</f>
        <v/>
      </c>
      <c r="K9" s="105"/>
      <c r="L9" s="105"/>
      <c r="M9" s="106"/>
      <c r="N9" s="96" t="str">
        <f aca="false">IF(B9="","",COUNTIF('Geral - Soluções'!$C$5:$C$500,A9&amp;"*"))</f>
        <v/>
      </c>
      <c r="O9" s="107"/>
      <c r="P9" s="105"/>
      <c r="Q9" s="105"/>
      <c r="R9" s="100" t="str">
        <f aca="false">IF(B9="","",A9&amp;" · "&amp;B9)</f>
        <v/>
      </c>
    </row>
    <row r="10" customFormat="false" ht="15" hidden="false" customHeight="false" outlineLevel="0" collapsed="false">
      <c r="A10" s="101" t="s">
        <v>553</v>
      </c>
      <c r="B10" s="102"/>
      <c r="C10" s="102"/>
      <c r="D10" s="102"/>
      <c r="E10" s="103"/>
      <c r="F10" s="102"/>
      <c r="G10" s="103"/>
      <c r="H10" s="103"/>
      <c r="I10" s="96" t="str">
        <f aca="false">IF(OR(G10="",H10=""),"",G10*H10)</f>
        <v/>
      </c>
      <c r="J10" s="99" t="str">
        <f aca="false">IF(I10="","",IF(I10&gt;=15,"Crítica",IF(I10&gt;=9,"Alta",IF(I10&gt;=4,"Média","Baixa"))))</f>
        <v/>
      </c>
      <c r="K10" s="102"/>
      <c r="L10" s="102"/>
      <c r="M10" s="103"/>
      <c r="N10" s="96" t="str">
        <f aca="false">IF(B10="","",COUNTIF('Geral - Soluções'!$C$5:$C$500,A10&amp;"*"))</f>
        <v/>
      </c>
      <c r="O10" s="104"/>
      <c r="P10" s="102"/>
      <c r="Q10" s="102"/>
      <c r="R10" s="100" t="str">
        <f aca="false">IF(B10="","",A10&amp;" · "&amp;B10)</f>
        <v/>
      </c>
    </row>
    <row r="11" customFormat="false" ht="15" hidden="false" customHeight="false" outlineLevel="0" collapsed="false">
      <c r="A11" s="93" t="s">
        <v>554</v>
      </c>
      <c r="B11" s="105"/>
      <c r="C11" s="105"/>
      <c r="D11" s="105"/>
      <c r="E11" s="106"/>
      <c r="F11" s="105"/>
      <c r="G11" s="106"/>
      <c r="H11" s="106"/>
      <c r="I11" s="96" t="str">
        <f aca="false">IF(OR(G11="",H11=""),"",G11*H11)</f>
        <v/>
      </c>
      <c r="J11" s="99" t="str">
        <f aca="false">IF(I11="","",IF(I11&gt;=15,"Crítica",IF(I11&gt;=9,"Alta",IF(I11&gt;=4,"Média","Baixa"))))</f>
        <v/>
      </c>
      <c r="K11" s="105"/>
      <c r="L11" s="105"/>
      <c r="M11" s="106"/>
      <c r="N11" s="96" t="str">
        <f aca="false">IF(B11="","",COUNTIF('Geral - Soluções'!$C$5:$C$500,A11&amp;"*"))</f>
        <v/>
      </c>
      <c r="O11" s="107"/>
      <c r="P11" s="105"/>
      <c r="Q11" s="105"/>
      <c r="R11" s="100" t="str">
        <f aca="false">IF(B11="","",A11&amp;" · "&amp;B11)</f>
        <v/>
      </c>
    </row>
    <row r="12" customFormat="false" ht="15" hidden="false" customHeight="false" outlineLevel="0" collapsed="false">
      <c r="A12" s="101" t="s">
        <v>555</v>
      </c>
      <c r="B12" s="102"/>
      <c r="C12" s="102"/>
      <c r="D12" s="102"/>
      <c r="E12" s="103"/>
      <c r="F12" s="102"/>
      <c r="G12" s="103"/>
      <c r="H12" s="103"/>
      <c r="I12" s="96" t="str">
        <f aca="false">IF(OR(G12="",H12=""),"",G12*H12)</f>
        <v/>
      </c>
      <c r="J12" s="99" t="str">
        <f aca="false">IF(I12="","",IF(I12&gt;=15,"Crítica",IF(I12&gt;=9,"Alta",IF(I12&gt;=4,"Média","Baixa"))))</f>
        <v/>
      </c>
      <c r="K12" s="102"/>
      <c r="L12" s="102"/>
      <c r="M12" s="103"/>
      <c r="N12" s="96" t="str">
        <f aca="false">IF(B12="","",COUNTIF('Geral - Soluções'!$C$5:$C$500,A12&amp;"*"))</f>
        <v/>
      </c>
      <c r="O12" s="104"/>
      <c r="P12" s="102"/>
      <c r="Q12" s="102"/>
      <c r="R12" s="100" t="str">
        <f aca="false">IF(B12="","",A12&amp;" · "&amp;B12)</f>
        <v/>
      </c>
    </row>
    <row r="13" customFormat="false" ht="15" hidden="false" customHeight="false" outlineLevel="0" collapsed="false">
      <c r="A13" s="93" t="s">
        <v>556</v>
      </c>
      <c r="B13" s="105"/>
      <c r="C13" s="105"/>
      <c r="D13" s="105"/>
      <c r="E13" s="106"/>
      <c r="F13" s="105"/>
      <c r="G13" s="106"/>
      <c r="H13" s="106"/>
      <c r="I13" s="96" t="str">
        <f aca="false">IF(OR(G13="",H13=""),"",G13*H13)</f>
        <v/>
      </c>
      <c r="J13" s="99" t="str">
        <f aca="false">IF(I13="","",IF(I13&gt;=15,"Crítica",IF(I13&gt;=9,"Alta",IF(I13&gt;=4,"Média","Baixa"))))</f>
        <v/>
      </c>
      <c r="K13" s="105"/>
      <c r="L13" s="105"/>
      <c r="M13" s="106"/>
      <c r="N13" s="96" t="str">
        <f aca="false">IF(B13="","",COUNTIF('Geral - Soluções'!$C$5:$C$500,A13&amp;"*"))</f>
        <v/>
      </c>
      <c r="O13" s="107"/>
      <c r="P13" s="105"/>
      <c r="Q13" s="105"/>
      <c r="R13" s="100" t="str">
        <f aca="false">IF(B13="","",A13&amp;" · "&amp;B13)</f>
        <v/>
      </c>
    </row>
    <row r="14" customFormat="false" ht="15" hidden="false" customHeight="false" outlineLevel="0" collapsed="false">
      <c r="A14" s="101" t="s">
        <v>557</v>
      </c>
      <c r="B14" s="102"/>
      <c r="C14" s="102"/>
      <c r="D14" s="102"/>
      <c r="E14" s="103"/>
      <c r="F14" s="102"/>
      <c r="G14" s="103"/>
      <c r="H14" s="103"/>
      <c r="I14" s="96" t="str">
        <f aca="false">IF(OR(G14="",H14=""),"",G14*H14)</f>
        <v/>
      </c>
      <c r="J14" s="99" t="str">
        <f aca="false">IF(I14="","",IF(I14&gt;=15,"Crítica",IF(I14&gt;=9,"Alta",IF(I14&gt;=4,"Média","Baixa"))))</f>
        <v/>
      </c>
      <c r="K14" s="102"/>
      <c r="L14" s="102"/>
      <c r="M14" s="103"/>
      <c r="N14" s="96" t="str">
        <f aca="false">IF(B14="","",COUNTIF('Geral - Soluções'!$C$5:$C$500,A14&amp;"*"))</f>
        <v/>
      </c>
      <c r="O14" s="104"/>
      <c r="P14" s="102"/>
      <c r="Q14" s="102"/>
      <c r="R14" s="100" t="str">
        <f aca="false">IF(B14="","",A14&amp;" · "&amp;B14)</f>
        <v/>
      </c>
    </row>
    <row r="15" customFormat="false" ht="15" hidden="false" customHeight="false" outlineLevel="0" collapsed="false">
      <c r="A15" s="93" t="s">
        <v>558</v>
      </c>
      <c r="B15" s="105"/>
      <c r="C15" s="105"/>
      <c r="D15" s="105"/>
      <c r="E15" s="106"/>
      <c r="F15" s="105"/>
      <c r="G15" s="106"/>
      <c r="H15" s="106"/>
      <c r="I15" s="96" t="str">
        <f aca="false">IF(OR(G15="",H15=""),"",G15*H15)</f>
        <v/>
      </c>
      <c r="J15" s="99" t="str">
        <f aca="false">IF(I15="","",IF(I15&gt;=15,"Crítica",IF(I15&gt;=9,"Alta",IF(I15&gt;=4,"Média","Baixa"))))</f>
        <v/>
      </c>
      <c r="K15" s="105"/>
      <c r="L15" s="105"/>
      <c r="M15" s="106"/>
      <c r="N15" s="96" t="str">
        <f aca="false">IF(B15="","",COUNTIF('Geral - Soluções'!$C$5:$C$500,A15&amp;"*"))</f>
        <v/>
      </c>
      <c r="O15" s="107"/>
      <c r="P15" s="105"/>
      <c r="Q15" s="105"/>
      <c r="R15" s="100" t="str">
        <f aca="false">IF(B15="","",A15&amp;" · "&amp;B15)</f>
        <v/>
      </c>
    </row>
    <row r="16" customFormat="false" ht="15" hidden="false" customHeight="false" outlineLevel="0" collapsed="false">
      <c r="A16" s="101" t="s">
        <v>559</v>
      </c>
      <c r="B16" s="102"/>
      <c r="C16" s="102"/>
      <c r="D16" s="102"/>
      <c r="E16" s="103"/>
      <c r="F16" s="102"/>
      <c r="G16" s="103"/>
      <c r="H16" s="103"/>
      <c r="I16" s="96" t="str">
        <f aca="false">IF(OR(G16="",H16=""),"",G16*H16)</f>
        <v/>
      </c>
      <c r="J16" s="99" t="str">
        <f aca="false">IF(I16="","",IF(I16&gt;=15,"Crítica",IF(I16&gt;=9,"Alta",IF(I16&gt;=4,"Média","Baixa"))))</f>
        <v/>
      </c>
      <c r="K16" s="102"/>
      <c r="L16" s="102"/>
      <c r="M16" s="103"/>
      <c r="N16" s="96" t="str">
        <f aca="false">IF(B16="","",COUNTIF('Geral - Soluções'!$C$5:$C$500,A16&amp;"*"))</f>
        <v/>
      </c>
      <c r="O16" s="104"/>
      <c r="P16" s="102"/>
      <c r="Q16" s="102"/>
      <c r="R16" s="100" t="str">
        <f aca="false">IF(B16="","",A16&amp;" · "&amp;B16)</f>
        <v/>
      </c>
    </row>
    <row r="17" customFormat="false" ht="15" hidden="false" customHeight="false" outlineLevel="0" collapsed="false">
      <c r="A17" s="93" t="s">
        <v>560</v>
      </c>
      <c r="B17" s="105"/>
      <c r="C17" s="105"/>
      <c r="D17" s="105"/>
      <c r="E17" s="106"/>
      <c r="F17" s="105"/>
      <c r="G17" s="106"/>
      <c r="H17" s="106"/>
      <c r="I17" s="96" t="str">
        <f aca="false">IF(OR(G17="",H17=""),"",G17*H17)</f>
        <v/>
      </c>
      <c r="J17" s="99" t="str">
        <f aca="false">IF(I17="","",IF(I17&gt;=15,"Crítica",IF(I17&gt;=9,"Alta",IF(I17&gt;=4,"Média","Baixa"))))</f>
        <v/>
      </c>
      <c r="K17" s="105"/>
      <c r="L17" s="105"/>
      <c r="M17" s="106"/>
      <c r="N17" s="96" t="str">
        <f aca="false">IF(B17="","",COUNTIF('Geral - Soluções'!$C$5:$C$500,A17&amp;"*"))</f>
        <v/>
      </c>
      <c r="O17" s="107"/>
      <c r="P17" s="105"/>
      <c r="Q17" s="105"/>
      <c r="R17" s="100" t="str">
        <f aca="false">IF(B17="","",A17&amp;" · "&amp;B17)</f>
        <v/>
      </c>
    </row>
    <row r="18" customFormat="false" ht="15" hidden="false" customHeight="false" outlineLevel="0" collapsed="false">
      <c r="A18" s="101" t="s">
        <v>561</v>
      </c>
      <c r="B18" s="102"/>
      <c r="C18" s="102"/>
      <c r="D18" s="102"/>
      <c r="E18" s="103"/>
      <c r="F18" s="102"/>
      <c r="G18" s="103"/>
      <c r="H18" s="103"/>
      <c r="I18" s="96" t="str">
        <f aca="false">IF(OR(G18="",H18=""),"",G18*H18)</f>
        <v/>
      </c>
      <c r="J18" s="99" t="str">
        <f aca="false">IF(I18="","",IF(I18&gt;=15,"Crítica",IF(I18&gt;=9,"Alta",IF(I18&gt;=4,"Média","Baixa"))))</f>
        <v/>
      </c>
      <c r="K18" s="102"/>
      <c r="L18" s="102"/>
      <c r="M18" s="103"/>
      <c r="N18" s="96" t="str">
        <f aca="false">IF(B18="","",COUNTIF('Geral - Soluções'!$C$5:$C$500,A18&amp;"*"))</f>
        <v/>
      </c>
      <c r="O18" s="104"/>
      <c r="P18" s="102"/>
      <c r="Q18" s="102"/>
      <c r="R18" s="100" t="str">
        <f aca="false">IF(B18="","",A18&amp;" · "&amp;B18)</f>
        <v/>
      </c>
    </row>
    <row r="19" customFormat="false" ht="15" hidden="false" customHeight="false" outlineLevel="0" collapsed="false">
      <c r="A19" s="93" t="s">
        <v>562</v>
      </c>
      <c r="B19" s="105"/>
      <c r="C19" s="105"/>
      <c r="D19" s="105"/>
      <c r="E19" s="106"/>
      <c r="F19" s="105"/>
      <c r="G19" s="106"/>
      <c r="H19" s="106"/>
      <c r="I19" s="96" t="str">
        <f aca="false">IF(OR(G19="",H19=""),"",G19*H19)</f>
        <v/>
      </c>
      <c r="J19" s="99" t="str">
        <f aca="false">IF(I19="","",IF(I19&gt;=15,"Crítica",IF(I19&gt;=9,"Alta",IF(I19&gt;=4,"Média","Baixa"))))</f>
        <v/>
      </c>
      <c r="K19" s="105"/>
      <c r="L19" s="105"/>
      <c r="M19" s="106"/>
      <c r="N19" s="96" t="str">
        <f aca="false">IF(B19="","",COUNTIF('Geral - Soluções'!$C$5:$C$500,A19&amp;"*"))</f>
        <v/>
      </c>
      <c r="O19" s="107"/>
      <c r="P19" s="105"/>
      <c r="Q19" s="105"/>
      <c r="R19" s="100" t="str">
        <f aca="false">IF(B19="","",A19&amp;" · "&amp;B19)</f>
        <v/>
      </c>
    </row>
    <row r="20" customFormat="false" ht="15" hidden="false" customHeight="false" outlineLevel="0" collapsed="false">
      <c r="A20" s="101" t="s">
        <v>563</v>
      </c>
      <c r="B20" s="102"/>
      <c r="C20" s="102"/>
      <c r="D20" s="102"/>
      <c r="E20" s="103"/>
      <c r="F20" s="102"/>
      <c r="G20" s="103"/>
      <c r="H20" s="103"/>
      <c r="I20" s="96" t="str">
        <f aca="false">IF(OR(G20="",H20=""),"",G20*H20)</f>
        <v/>
      </c>
      <c r="J20" s="99" t="str">
        <f aca="false">IF(I20="","",IF(I20&gt;=15,"Crítica",IF(I20&gt;=9,"Alta",IF(I20&gt;=4,"Média","Baixa"))))</f>
        <v/>
      </c>
      <c r="K20" s="102"/>
      <c r="L20" s="102"/>
      <c r="M20" s="103"/>
      <c r="N20" s="96" t="str">
        <f aca="false">IF(B20="","",COUNTIF('Geral - Soluções'!$C$5:$C$500,A20&amp;"*"))</f>
        <v/>
      </c>
      <c r="O20" s="104"/>
      <c r="P20" s="102"/>
      <c r="Q20" s="102"/>
      <c r="R20" s="100" t="str">
        <f aca="false">IF(B20="","",A20&amp;" · "&amp;B20)</f>
        <v/>
      </c>
    </row>
    <row r="21" customFormat="false" ht="15" hidden="false" customHeight="false" outlineLevel="0" collapsed="false">
      <c r="A21" s="93" t="s">
        <v>564</v>
      </c>
      <c r="B21" s="105"/>
      <c r="C21" s="105"/>
      <c r="D21" s="105"/>
      <c r="E21" s="106"/>
      <c r="F21" s="105"/>
      <c r="G21" s="106"/>
      <c r="H21" s="106"/>
      <c r="I21" s="96" t="str">
        <f aca="false">IF(OR(G21="",H21=""),"",G21*H21)</f>
        <v/>
      </c>
      <c r="J21" s="99" t="str">
        <f aca="false">IF(I21="","",IF(I21&gt;=15,"Crítica",IF(I21&gt;=9,"Alta",IF(I21&gt;=4,"Média","Baixa"))))</f>
        <v/>
      </c>
      <c r="K21" s="105"/>
      <c r="L21" s="105"/>
      <c r="M21" s="106"/>
      <c r="N21" s="96" t="str">
        <f aca="false">IF(B21="","",COUNTIF('Geral - Soluções'!$C$5:$C$500,A21&amp;"*"))</f>
        <v/>
      </c>
      <c r="O21" s="107"/>
      <c r="P21" s="105"/>
      <c r="Q21" s="105"/>
      <c r="R21" s="100" t="str">
        <f aca="false">IF(B21="","",A21&amp;" · "&amp;B21)</f>
        <v/>
      </c>
    </row>
    <row r="22" customFormat="false" ht="15" hidden="false" customHeight="false" outlineLevel="0" collapsed="false">
      <c r="A22" s="101" t="s">
        <v>565</v>
      </c>
      <c r="B22" s="102"/>
      <c r="C22" s="102"/>
      <c r="D22" s="102"/>
      <c r="E22" s="103"/>
      <c r="F22" s="102"/>
      <c r="G22" s="103"/>
      <c r="H22" s="103"/>
      <c r="I22" s="96" t="str">
        <f aca="false">IF(OR(G22="",H22=""),"",G22*H22)</f>
        <v/>
      </c>
      <c r="J22" s="99" t="str">
        <f aca="false">IF(I22="","",IF(I22&gt;=15,"Crítica",IF(I22&gt;=9,"Alta",IF(I22&gt;=4,"Média","Baixa"))))</f>
        <v/>
      </c>
      <c r="K22" s="102"/>
      <c r="L22" s="102"/>
      <c r="M22" s="103"/>
      <c r="N22" s="96" t="str">
        <f aca="false">IF(B22="","",COUNTIF('Geral - Soluções'!$C$5:$C$500,A22&amp;"*"))</f>
        <v/>
      </c>
      <c r="O22" s="104"/>
      <c r="P22" s="102"/>
      <c r="Q22" s="102"/>
      <c r="R22" s="100" t="str">
        <f aca="false">IF(B22="","",A22&amp;" · "&amp;B22)</f>
        <v/>
      </c>
    </row>
    <row r="23" customFormat="false" ht="15" hidden="false" customHeight="false" outlineLevel="0" collapsed="false">
      <c r="A23" s="93" t="s">
        <v>566</v>
      </c>
      <c r="B23" s="105"/>
      <c r="C23" s="105"/>
      <c r="D23" s="105"/>
      <c r="E23" s="106"/>
      <c r="F23" s="105"/>
      <c r="G23" s="106"/>
      <c r="H23" s="106"/>
      <c r="I23" s="96" t="str">
        <f aca="false">IF(OR(G23="",H23=""),"",G23*H23)</f>
        <v/>
      </c>
      <c r="J23" s="99" t="str">
        <f aca="false">IF(I23="","",IF(I23&gt;=15,"Crítica",IF(I23&gt;=9,"Alta",IF(I23&gt;=4,"Média","Baixa"))))</f>
        <v/>
      </c>
      <c r="K23" s="105"/>
      <c r="L23" s="105"/>
      <c r="M23" s="106"/>
      <c r="N23" s="96" t="str">
        <f aca="false">IF(B23="","",COUNTIF('Geral - Soluções'!$C$5:$C$500,A23&amp;"*"))</f>
        <v/>
      </c>
      <c r="O23" s="107"/>
      <c r="P23" s="105"/>
      <c r="Q23" s="105"/>
      <c r="R23" s="100" t="str">
        <f aca="false">IF(B23="","",A23&amp;" · "&amp;B23)</f>
        <v/>
      </c>
    </row>
    <row r="24" customFormat="false" ht="15" hidden="false" customHeight="false" outlineLevel="0" collapsed="false">
      <c r="A24" s="101" t="s">
        <v>567</v>
      </c>
      <c r="B24" s="102"/>
      <c r="C24" s="102"/>
      <c r="D24" s="102"/>
      <c r="E24" s="103"/>
      <c r="F24" s="102"/>
      <c r="G24" s="103"/>
      <c r="H24" s="103"/>
      <c r="I24" s="96" t="str">
        <f aca="false">IF(OR(G24="",H24=""),"",G24*H24)</f>
        <v/>
      </c>
      <c r="J24" s="99" t="str">
        <f aca="false">IF(I24="","",IF(I24&gt;=15,"Crítica",IF(I24&gt;=9,"Alta",IF(I24&gt;=4,"Média","Baixa"))))</f>
        <v/>
      </c>
      <c r="K24" s="102"/>
      <c r="L24" s="102"/>
      <c r="M24" s="103"/>
      <c r="N24" s="96" t="str">
        <f aca="false">IF(B24="","",COUNTIF('Geral - Soluções'!$C$5:$C$500,A24&amp;"*"))</f>
        <v/>
      </c>
      <c r="O24" s="104"/>
      <c r="P24" s="102"/>
      <c r="Q24" s="102"/>
      <c r="R24" s="100" t="str">
        <f aca="false">IF(B24="","",A24&amp;" · "&amp;B24)</f>
        <v/>
      </c>
    </row>
    <row r="25" customFormat="false" ht="15" hidden="false" customHeight="false" outlineLevel="0" collapsed="false">
      <c r="A25" s="93" t="s">
        <v>568</v>
      </c>
      <c r="B25" s="105"/>
      <c r="C25" s="105"/>
      <c r="D25" s="105"/>
      <c r="E25" s="106"/>
      <c r="F25" s="105"/>
      <c r="G25" s="106"/>
      <c r="H25" s="106"/>
      <c r="I25" s="96" t="str">
        <f aca="false">IF(OR(G25="",H25=""),"",G25*H25)</f>
        <v/>
      </c>
      <c r="J25" s="99" t="str">
        <f aca="false">IF(I25="","",IF(I25&gt;=15,"Crítica",IF(I25&gt;=9,"Alta",IF(I25&gt;=4,"Média","Baixa"))))</f>
        <v/>
      </c>
      <c r="K25" s="105"/>
      <c r="L25" s="105"/>
      <c r="M25" s="106"/>
      <c r="N25" s="96" t="str">
        <f aca="false">IF(B25="","",COUNTIF('Geral - Soluções'!$C$5:$C$500,A25&amp;"*"))</f>
        <v/>
      </c>
      <c r="O25" s="107"/>
      <c r="P25" s="105"/>
      <c r="Q25" s="105"/>
      <c r="R25" s="100" t="str">
        <f aca="false">IF(B25="","",A25&amp;" · "&amp;B25)</f>
        <v/>
      </c>
    </row>
    <row r="26" customFormat="false" ht="15" hidden="false" customHeight="false" outlineLevel="0" collapsed="false">
      <c r="A26" s="101" t="s">
        <v>569</v>
      </c>
      <c r="B26" s="102"/>
      <c r="C26" s="102"/>
      <c r="D26" s="102"/>
      <c r="E26" s="103"/>
      <c r="F26" s="102"/>
      <c r="G26" s="103"/>
      <c r="H26" s="103"/>
      <c r="I26" s="96" t="str">
        <f aca="false">IF(OR(G26="",H26=""),"",G26*H26)</f>
        <v/>
      </c>
      <c r="J26" s="99" t="str">
        <f aca="false">IF(I26="","",IF(I26&gt;=15,"Crítica",IF(I26&gt;=9,"Alta",IF(I26&gt;=4,"Média","Baixa"))))</f>
        <v/>
      </c>
      <c r="K26" s="102"/>
      <c r="L26" s="102"/>
      <c r="M26" s="103"/>
      <c r="N26" s="96" t="str">
        <f aca="false">IF(B26="","",COUNTIF('Geral - Soluções'!$C$5:$C$500,A26&amp;"*"))</f>
        <v/>
      </c>
      <c r="O26" s="104"/>
      <c r="P26" s="102"/>
      <c r="Q26" s="102"/>
      <c r="R26" s="100" t="str">
        <f aca="false">IF(B26="","",A26&amp;" · "&amp;B26)</f>
        <v/>
      </c>
    </row>
    <row r="27" customFormat="false" ht="15" hidden="false" customHeight="false" outlineLevel="0" collapsed="false">
      <c r="A27" s="93" t="s">
        <v>570</v>
      </c>
      <c r="B27" s="105"/>
      <c r="C27" s="105"/>
      <c r="D27" s="105"/>
      <c r="E27" s="106"/>
      <c r="F27" s="105"/>
      <c r="G27" s="106"/>
      <c r="H27" s="106"/>
      <c r="I27" s="96" t="str">
        <f aca="false">IF(OR(G27="",H27=""),"",G27*H27)</f>
        <v/>
      </c>
      <c r="J27" s="99" t="str">
        <f aca="false">IF(I27="","",IF(I27&gt;=15,"Crítica",IF(I27&gt;=9,"Alta",IF(I27&gt;=4,"Média","Baixa"))))</f>
        <v/>
      </c>
      <c r="K27" s="105"/>
      <c r="L27" s="105"/>
      <c r="M27" s="106"/>
      <c r="N27" s="96" t="str">
        <f aca="false">IF(B27="","",COUNTIF('Geral - Soluções'!$C$5:$C$500,A27&amp;"*"))</f>
        <v/>
      </c>
      <c r="O27" s="107"/>
      <c r="P27" s="105"/>
      <c r="Q27" s="105"/>
      <c r="R27" s="100" t="str">
        <f aca="false">IF(B27="","",A27&amp;" · "&amp;B27)</f>
        <v/>
      </c>
    </row>
    <row r="28" customFormat="false" ht="15" hidden="false" customHeight="false" outlineLevel="0" collapsed="false">
      <c r="A28" s="101" t="s">
        <v>571</v>
      </c>
      <c r="B28" s="102"/>
      <c r="C28" s="102"/>
      <c r="D28" s="102"/>
      <c r="E28" s="103"/>
      <c r="F28" s="102"/>
      <c r="G28" s="103"/>
      <c r="H28" s="103"/>
      <c r="I28" s="96" t="str">
        <f aca="false">IF(OR(G28="",H28=""),"",G28*H28)</f>
        <v/>
      </c>
      <c r="J28" s="99" t="str">
        <f aca="false">IF(I28="","",IF(I28&gt;=15,"Crítica",IF(I28&gt;=9,"Alta",IF(I28&gt;=4,"Média","Baixa"))))</f>
        <v/>
      </c>
      <c r="K28" s="102"/>
      <c r="L28" s="102"/>
      <c r="M28" s="103"/>
      <c r="N28" s="96" t="str">
        <f aca="false">IF(B28="","",COUNTIF('Geral - Soluções'!$C$5:$C$500,A28&amp;"*"))</f>
        <v/>
      </c>
      <c r="O28" s="104"/>
      <c r="P28" s="102"/>
      <c r="Q28" s="102"/>
      <c r="R28" s="100" t="str">
        <f aca="false">IF(B28="","",A28&amp;" · "&amp;B28)</f>
        <v/>
      </c>
    </row>
    <row r="29" customFormat="false" ht="15" hidden="false" customHeight="false" outlineLevel="0" collapsed="false">
      <c r="A29" s="93" t="s">
        <v>572</v>
      </c>
      <c r="B29" s="105"/>
      <c r="C29" s="105"/>
      <c r="D29" s="105"/>
      <c r="E29" s="106"/>
      <c r="F29" s="105"/>
      <c r="G29" s="106"/>
      <c r="H29" s="106"/>
      <c r="I29" s="96" t="str">
        <f aca="false">IF(OR(G29="",H29=""),"",G29*H29)</f>
        <v/>
      </c>
      <c r="J29" s="99" t="str">
        <f aca="false">IF(I29="","",IF(I29&gt;=15,"Crítica",IF(I29&gt;=9,"Alta",IF(I29&gt;=4,"Média","Baixa"))))</f>
        <v/>
      </c>
      <c r="K29" s="105"/>
      <c r="L29" s="105"/>
      <c r="M29" s="106"/>
      <c r="N29" s="96" t="str">
        <f aca="false">IF(B29="","",COUNTIF('Geral - Soluções'!$C$5:$C$500,A29&amp;"*"))</f>
        <v/>
      </c>
      <c r="O29" s="107"/>
      <c r="P29" s="105"/>
      <c r="Q29" s="105"/>
      <c r="R29" s="100" t="str">
        <f aca="false">IF(B29="","",A29&amp;" · "&amp;B29)</f>
        <v/>
      </c>
    </row>
    <row r="30" customFormat="false" ht="15" hidden="false" customHeight="false" outlineLevel="0" collapsed="false">
      <c r="A30" s="101" t="s">
        <v>573</v>
      </c>
      <c r="B30" s="102"/>
      <c r="C30" s="102"/>
      <c r="D30" s="102"/>
      <c r="E30" s="103"/>
      <c r="F30" s="102"/>
      <c r="G30" s="103"/>
      <c r="H30" s="103"/>
      <c r="I30" s="96" t="str">
        <f aca="false">IF(OR(G30="",H30=""),"",G30*H30)</f>
        <v/>
      </c>
      <c r="J30" s="99" t="str">
        <f aca="false">IF(I30="","",IF(I30&gt;=15,"Crítica",IF(I30&gt;=9,"Alta",IF(I30&gt;=4,"Média","Baixa"))))</f>
        <v/>
      </c>
      <c r="K30" s="102"/>
      <c r="L30" s="102"/>
      <c r="M30" s="103"/>
      <c r="N30" s="96" t="str">
        <f aca="false">IF(B30="","",COUNTIF('Geral - Soluções'!$C$5:$C$500,A30&amp;"*"))</f>
        <v/>
      </c>
      <c r="O30" s="104"/>
      <c r="P30" s="102"/>
      <c r="Q30" s="102"/>
      <c r="R30" s="100" t="str">
        <f aca="false">IF(B30="","",A30&amp;" · "&amp;B30)</f>
        <v/>
      </c>
    </row>
    <row r="31" customFormat="false" ht="15" hidden="false" customHeight="false" outlineLevel="0" collapsed="false">
      <c r="A31" s="93" t="s">
        <v>574</v>
      </c>
      <c r="B31" s="105"/>
      <c r="C31" s="105"/>
      <c r="D31" s="105"/>
      <c r="E31" s="106"/>
      <c r="F31" s="105"/>
      <c r="G31" s="106"/>
      <c r="H31" s="106"/>
      <c r="I31" s="96" t="str">
        <f aca="false">IF(OR(G31="",H31=""),"",G31*H31)</f>
        <v/>
      </c>
      <c r="J31" s="99" t="str">
        <f aca="false">IF(I31="","",IF(I31&gt;=15,"Crítica",IF(I31&gt;=9,"Alta",IF(I31&gt;=4,"Média","Baixa"))))</f>
        <v/>
      </c>
      <c r="K31" s="105"/>
      <c r="L31" s="105"/>
      <c r="M31" s="106"/>
      <c r="N31" s="96" t="str">
        <f aca="false">IF(B31="","",COUNTIF('Geral - Soluções'!$C$5:$C$500,A31&amp;"*"))</f>
        <v/>
      </c>
      <c r="O31" s="107"/>
      <c r="P31" s="105"/>
      <c r="Q31" s="105"/>
      <c r="R31" s="100" t="str">
        <f aca="false">IF(B31="","",A31&amp;" · "&amp;B31)</f>
        <v/>
      </c>
    </row>
    <row r="32" customFormat="false" ht="15" hidden="false" customHeight="false" outlineLevel="0" collapsed="false">
      <c r="A32" s="101" t="s">
        <v>575</v>
      </c>
      <c r="B32" s="102"/>
      <c r="C32" s="102"/>
      <c r="D32" s="102"/>
      <c r="E32" s="103"/>
      <c r="F32" s="102"/>
      <c r="G32" s="103"/>
      <c r="H32" s="103"/>
      <c r="I32" s="96" t="str">
        <f aca="false">IF(OR(G32="",H32=""),"",G32*H32)</f>
        <v/>
      </c>
      <c r="J32" s="99" t="str">
        <f aca="false">IF(I32="","",IF(I32&gt;=15,"Crítica",IF(I32&gt;=9,"Alta",IF(I32&gt;=4,"Média","Baixa"))))</f>
        <v/>
      </c>
      <c r="K32" s="102"/>
      <c r="L32" s="102"/>
      <c r="M32" s="103"/>
      <c r="N32" s="96" t="str">
        <f aca="false">IF(B32="","",COUNTIF('Geral - Soluções'!$C$5:$C$500,A32&amp;"*"))</f>
        <v/>
      </c>
      <c r="O32" s="104"/>
      <c r="P32" s="102"/>
      <c r="Q32" s="102"/>
      <c r="R32" s="100" t="str">
        <f aca="false">IF(B32="","",A32&amp;" · "&amp;B32)</f>
        <v/>
      </c>
    </row>
    <row r="33" customFormat="false" ht="15" hidden="false" customHeight="false" outlineLevel="0" collapsed="false">
      <c r="A33" s="93" t="s">
        <v>576</v>
      </c>
      <c r="B33" s="105"/>
      <c r="C33" s="105"/>
      <c r="D33" s="105"/>
      <c r="E33" s="106"/>
      <c r="F33" s="105"/>
      <c r="G33" s="106"/>
      <c r="H33" s="106"/>
      <c r="I33" s="96" t="str">
        <f aca="false">IF(OR(G33="",H33=""),"",G33*H33)</f>
        <v/>
      </c>
      <c r="J33" s="99" t="str">
        <f aca="false">IF(I33="","",IF(I33&gt;=15,"Crítica",IF(I33&gt;=9,"Alta",IF(I33&gt;=4,"Média","Baixa"))))</f>
        <v/>
      </c>
      <c r="K33" s="105"/>
      <c r="L33" s="105"/>
      <c r="M33" s="106"/>
      <c r="N33" s="96" t="str">
        <f aca="false">IF(B33="","",COUNTIF('Geral - Soluções'!$C$5:$C$500,A33&amp;"*"))</f>
        <v/>
      </c>
      <c r="O33" s="107"/>
      <c r="P33" s="105"/>
      <c r="Q33" s="105"/>
      <c r="R33" s="100" t="str">
        <f aca="false">IF(B33="","",A33&amp;" · "&amp;B33)</f>
        <v/>
      </c>
    </row>
    <row r="34" customFormat="false" ht="15" hidden="false" customHeight="false" outlineLevel="0" collapsed="false">
      <c r="A34" s="101" t="s">
        <v>577</v>
      </c>
      <c r="B34" s="102"/>
      <c r="C34" s="102"/>
      <c r="D34" s="102"/>
      <c r="E34" s="103"/>
      <c r="F34" s="102"/>
      <c r="G34" s="103"/>
      <c r="H34" s="103"/>
      <c r="I34" s="96" t="str">
        <f aca="false">IF(OR(G34="",H34=""),"",G34*H34)</f>
        <v/>
      </c>
      <c r="J34" s="99" t="str">
        <f aca="false">IF(I34="","",IF(I34&gt;=15,"Crítica",IF(I34&gt;=9,"Alta",IF(I34&gt;=4,"Média","Baixa"))))</f>
        <v/>
      </c>
      <c r="K34" s="102"/>
      <c r="L34" s="102"/>
      <c r="M34" s="103"/>
      <c r="N34" s="96" t="str">
        <f aca="false">IF(B34="","",COUNTIF('Geral - Soluções'!$C$5:$C$500,A34&amp;"*"))</f>
        <v/>
      </c>
      <c r="O34" s="104"/>
      <c r="P34" s="102"/>
      <c r="Q34" s="102"/>
      <c r="R34" s="100" t="str">
        <f aca="false">IF(B34="","",A34&amp;" · "&amp;B34)</f>
        <v/>
      </c>
    </row>
    <row r="35" customFormat="false" ht="15" hidden="false" customHeight="false" outlineLevel="0" collapsed="false">
      <c r="A35" s="93" t="s">
        <v>578</v>
      </c>
      <c r="B35" s="105"/>
      <c r="C35" s="105"/>
      <c r="D35" s="105"/>
      <c r="E35" s="106"/>
      <c r="F35" s="105"/>
      <c r="G35" s="106"/>
      <c r="H35" s="106"/>
      <c r="I35" s="96" t="str">
        <f aca="false">IF(OR(G35="",H35=""),"",G35*H35)</f>
        <v/>
      </c>
      <c r="J35" s="99" t="str">
        <f aca="false">IF(I35="","",IF(I35&gt;=15,"Crítica",IF(I35&gt;=9,"Alta",IF(I35&gt;=4,"Média","Baixa"))))</f>
        <v/>
      </c>
      <c r="K35" s="105"/>
      <c r="L35" s="105"/>
      <c r="M35" s="106"/>
      <c r="N35" s="96" t="str">
        <f aca="false">IF(B35="","",COUNTIF('Geral - Soluções'!$C$5:$C$500,A35&amp;"*"))</f>
        <v/>
      </c>
      <c r="O35" s="107"/>
      <c r="P35" s="105"/>
      <c r="Q35" s="105"/>
      <c r="R35" s="100" t="str">
        <f aca="false">IF(B35="","",A35&amp;" · "&amp;B35)</f>
        <v/>
      </c>
    </row>
    <row r="36" customFormat="false" ht="15" hidden="false" customHeight="false" outlineLevel="0" collapsed="false">
      <c r="A36" s="101" t="s">
        <v>579</v>
      </c>
      <c r="B36" s="102"/>
      <c r="C36" s="102"/>
      <c r="D36" s="102"/>
      <c r="E36" s="103"/>
      <c r="F36" s="102"/>
      <c r="G36" s="103"/>
      <c r="H36" s="103"/>
      <c r="I36" s="96" t="str">
        <f aca="false">IF(OR(G36="",H36=""),"",G36*H36)</f>
        <v/>
      </c>
      <c r="J36" s="99" t="str">
        <f aca="false">IF(I36="","",IF(I36&gt;=15,"Crítica",IF(I36&gt;=9,"Alta",IF(I36&gt;=4,"Média","Baixa"))))</f>
        <v/>
      </c>
      <c r="K36" s="102"/>
      <c r="L36" s="102"/>
      <c r="M36" s="103"/>
      <c r="N36" s="96" t="str">
        <f aca="false">IF(B36="","",COUNTIF('Geral - Soluções'!$C$5:$C$500,A36&amp;"*"))</f>
        <v/>
      </c>
      <c r="O36" s="104"/>
      <c r="P36" s="102"/>
      <c r="Q36" s="102"/>
      <c r="R36" s="100" t="str">
        <f aca="false">IF(B36="","",A36&amp;" · "&amp;B36)</f>
        <v/>
      </c>
    </row>
    <row r="37" customFormat="false" ht="15" hidden="false" customHeight="false" outlineLevel="0" collapsed="false">
      <c r="A37" s="93" t="s">
        <v>580</v>
      </c>
      <c r="B37" s="105"/>
      <c r="C37" s="105"/>
      <c r="D37" s="105"/>
      <c r="E37" s="106"/>
      <c r="F37" s="105"/>
      <c r="G37" s="106"/>
      <c r="H37" s="106"/>
      <c r="I37" s="96" t="str">
        <f aca="false">IF(OR(G37="",H37=""),"",G37*H37)</f>
        <v/>
      </c>
      <c r="J37" s="99" t="str">
        <f aca="false">IF(I37="","",IF(I37&gt;=15,"Crítica",IF(I37&gt;=9,"Alta",IF(I37&gt;=4,"Média","Baixa"))))</f>
        <v/>
      </c>
      <c r="K37" s="105"/>
      <c r="L37" s="105"/>
      <c r="M37" s="106"/>
      <c r="N37" s="96" t="str">
        <f aca="false">IF(B37="","",COUNTIF('Geral - Soluções'!$C$5:$C$500,A37&amp;"*"))</f>
        <v/>
      </c>
      <c r="O37" s="107"/>
      <c r="P37" s="105"/>
      <c r="Q37" s="105"/>
      <c r="R37" s="100" t="str">
        <f aca="false">IF(B37="","",A37&amp;" · "&amp;B37)</f>
        <v/>
      </c>
    </row>
    <row r="38" customFormat="false" ht="15" hidden="false" customHeight="false" outlineLevel="0" collapsed="false">
      <c r="A38" s="101" t="s">
        <v>581</v>
      </c>
      <c r="B38" s="102"/>
      <c r="C38" s="102"/>
      <c r="D38" s="102"/>
      <c r="E38" s="103"/>
      <c r="F38" s="102"/>
      <c r="G38" s="103"/>
      <c r="H38" s="103"/>
      <c r="I38" s="96" t="str">
        <f aca="false">IF(OR(G38="",H38=""),"",G38*H38)</f>
        <v/>
      </c>
      <c r="J38" s="99" t="str">
        <f aca="false">IF(I38="","",IF(I38&gt;=15,"Crítica",IF(I38&gt;=9,"Alta",IF(I38&gt;=4,"Média","Baixa"))))</f>
        <v/>
      </c>
      <c r="K38" s="102"/>
      <c r="L38" s="102"/>
      <c r="M38" s="103"/>
      <c r="N38" s="96" t="str">
        <f aca="false">IF(B38="","",COUNTIF('Geral - Soluções'!$C$5:$C$500,A38&amp;"*"))</f>
        <v/>
      </c>
      <c r="O38" s="104"/>
      <c r="P38" s="102"/>
      <c r="Q38" s="102"/>
      <c r="R38" s="100" t="str">
        <f aca="false">IF(B38="","",A38&amp;" · "&amp;B38)</f>
        <v/>
      </c>
    </row>
    <row r="39" customFormat="false" ht="15" hidden="false" customHeight="false" outlineLevel="0" collapsed="false">
      <c r="A39" s="93" t="s">
        <v>582</v>
      </c>
      <c r="B39" s="105"/>
      <c r="C39" s="105"/>
      <c r="D39" s="105"/>
      <c r="E39" s="106"/>
      <c r="F39" s="105"/>
      <c r="G39" s="106"/>
      <c r="H39" s="106"/>
      <c r="I39" s="96" t="str">
        <f aca="false">IF(OR(G39="",H39=""),"",G39*H39)</f>
        <v/>
      </c>
      <c r="J39" s="99" t="str">
        <f aca="false">IF(I39="","",IF(I39&gt;=15,"Crítica",IF(I39&gt;=9,"Alta",IF(I39&gt;=4,"Média","Baixa"))))</f>
        <v/>
      </c>
      <c r="K39" s="105"/>
      <c r="L39" s="105"/>
      <c r="M39" s="106"/>
      <c r="N39" s="96" t="str">
        <f aca="false">IF(B39="","",COUNTIF('Geral - Soluções'!$C$5:$C$500,A39&amp;"*"))</f>
        <v/>
      </c>
      <c r="O39" s="107"/>
      <c r="P39" s="105"/>
      <c r="Q39" s="105"/>
      <c r="R39" s="100" t="str">
        <f aca="false">IF(B39="","",A39&amp;" · "&amp;B39)</f>
        <v/>
      </c>
    </row>
    <row r="40" customFormat="false" ht="15" hidden="false" customHeight="false" outlineLevel="0" collapsed="false">
      <c r="A40" s="101" t="s">
        <v>583</v>
      </c>
      <c r="B40" s="102"/>
      <c r="C40" s="102"/>
      <c r="D40" s="102"/>
      <c r="E40" s="103"/>
      <c r="F40" s="102"/>
      <c r="G40" s="103"/>
      <c r="H40" s="103"/>
      <c r="I40" s="96" t="str">
        <f aca="false">IF(OR(G40="",H40=""),"",G40*H40)</f>
        <v/>
      </c>
      <c r="J40" s="99" t="str">
        <f aca="false">IF(I40="","",IF(I40&gt;=15,"Crítica",IF(I40&gt;=9,"Alta",IF(I40&gt;=4,"Média","Baixa"))))</f>
        <v/>
      </c>
      <c r="K40" s="102"/>
      <c r="L40" s="102"/>
      <c r="M40" s="103"/>
      <c r="N40" s="96" t="str">
        <f aca="false">IF(B40="","",COUNTIF('Geral - Soluções'!$C$5:$C$500,A40&amp;"*"))</f>
        <v/>
      </c>
      <c r="O40" s="104"/>
      <c r="P40" s="102"/>
      <c r="Q40" s="102"/>
      <c r="R40" s="100" t="str">
        <f aca="false">IF(B40="","",A40&amp;" · "&amp;B40)</f>
        <v/>
      </c>
    </row>
    <row r="41" customFormat="false" ht="15" hidden="false" customHeight="false" outlineLevel="0" collapsed="false">
      <c r="A41" s="93" t="s">
        <v>584</v>
      </c>
      <c r="B41" s="105"/>
      <c r="C41" s="105"/>
      <c r="D41" s="105"/>
      <c r="E41" s="106"/>
      <c r="F41" s="105"/>
      <c r="G41" s="106"/>
      <c r="H41" s="106"/>
      <c r="I41" s="96" t="str">
        <f aca="false">IF(OR(G41="",H41=""),"",G41*H41)</f>
        <v/>
      </c>
      <c r="J41" s="99" t="str">
        <f aca="false">IF(I41="","",IF(I41&gt;=15,"Crítica",IF(I41&gt;=9,"Alta",IF(I41&gt;=4,"Média","Baixa"))))</f>
        <v/>
      </c>
      <c r="K41" s="105"/>
      <c r="L41" s="105"/>
      <c r="M41" s="106"/>
      <c r="N41" s="96" t="str">
        <f aca="false">IF(B41="","",COUNTIF('Geral - Soluções'!$C$5:$C$500,A41&amp;"*"))</f>
        <v/>
      </c>
      <c r="O41" s="107"/>
      <c r="P41" s="105"/>
      <c r="Q41" s="105"/>
      <c r="R41" s="100" t="str">
        <f aca="false">IF(B41="","",A41&amp;" · "&amp;B41)</f>
        <v/>
      </c>
    </row>
    <row r="42" customFormat="false" ht="15" hidden="false" customHeight="false" outlineLevel="0" collapsed="false">
      <c r="A42" s="101" t="s">
        <v>585</v>
      </c>
      <c r="B42" s="102"/>
      <c r="C42" s="102"/>
      <c r="D42" s="102"/>
      <c r="E42" s="103"/>
      <c r="F42" s="102"/>
      <c r="G42" s="103"/>
      <c r="H42" s="103"/>
      <c r="I42" s="96" t="str">
        <f aca="false">IF(OR(G42="",H42=""),"",G42*H42)</f>
        <v/>
      </c>
      <c r="J42" s="99" t="str">
        <f aca="false">IF(I42="","",IF(I42&gt;=15,"Crítica",IF(I42&gt;=9,"Alta",IF(I42&gt;=4,"Média","Baixa"))))</f>
        <v/>
      </c>
      <c r="K42" s="102"/>
      <c r="L42" s="102"/>
      <c r="M42" s="103"/>
      <c r="N42" s="96" t="str">
        <f aca="false">IF(B42="","",COUNTIF('Geral - Soluções'!$C$5:$C$500,A42&amp;"*"))</f>
        <v/>
      </c>
      <c r="O42" s="104"/>
      <c r="P42" s="102"/>
      <c r="Q42" s="102"/>
      <c r="R42" s="100" t="str">
        <f aca="false">IF(B42="","",A42&amp;" · "&amp;B42)</f>
        <v/>
      </c>
    </row>
    <row r="43" customFormat="false" ht="15" hidden="false" customHeight="false" outlineLevel="0" collapsed="false">
      <c r="A43" s="93" t="s">
        <v>586</v>
      </c>
      <c r="B43" s="105"/>
      <c r="C43" s="105"/>
      <c r="D43" s="105"/>
      <c r="E43" s="106"/>
      <c r="F43" s="105"/>
      <c r="G43" s="106"/>
      <c r="H43" s="106"/>
      <c r="I43" s="96" t="str">
        <f aca="false">IF(OR(G43="",H43=""),"",G43*H43)</f>
        <v/>
      </c>
      <c r="J43" s="99" t="str">
        <f aca="false">IF(I43="","",IF(I43&gt;=15,"Crítica",IF(I43&gt;=9,"Alta",IF(I43&gt;=4,"Média","Baixa"))))</f>
        <v/>
      </c>
      <c r="K43" s="105"/>
      <c r="L43" s="105"/>
      <c r="M43" s="106"/>
      <c r="N43" s="96" t="str">
        <f aca="false">IF(B43="","",COUNTIF('Geral - Soluções'!$C$5:$C$500,A43&amp;"*"))</f>
        <v/>
      </c>
      <c r="O43" s="107"/>
      <c r="P43" s="105"/>
      <c r="Q43" s="105"/>
      <c r="R43" s="100" t="str">
        <f aca="false">IF(B43="","",A43&amp;" · "&amp;B43)</f>
        <v/>
      </c>
    </row>
    <row r="44" customFormat="false" ht="15" hidden="false" customHeight="false" outlineLevel="0" collapsed="false">
      <c r="A44" s="101" t="s">
        <v>587</v>
      </c>
      <c r="B44" s="102"/>
      <c r="C44" s="102"/>
      <c r="D44" s="102"/>
      <c r="E44" s="103"/>
      <c r="F44" s="102"/>
      <c r="G44" s="103"/>
      <c r="H44" s="103"/>
      <c r="I44" s="96" t="str">
        <f aca="false">IF(OR(G44="",H44=""),"",G44*H44)</f>
        <v/>
      </c>
      <c r="J44" s="99" t="str">
        <f aca="false">IF(I44="","",IF(I44&gt;=15,"Crítica",IF(I44&gt;=9,"Alta",IF(I44&gt;=4,"Média","Baixa"))))</f>
        <v/>
      </c>
      <c r="K44" s="102"/>
      <c r="L44" s="102"/>
      <c r="M44" s="103"/>
      <c r="N44" s="96" t="str">
        <f aca="false">IF(B44="","",COUNTIF('Geral - Soluções'!$C$5:$C$500,A44&amp;"*"))</f>
        <v/>
      </c>
      <c r="O44" s="104"/>
      <c r="P44" s="102"/>
      <c r="Q44" s="102"/>
      <c r="R44" s="100" t="str">
        <f aca="false">IF(B44="","",A44&amp;" · "&amp;B44)</f>
        <v/>
      </c>
    </row>
    <row r="45" customFormat="false" ht="15" hidden="false" customHeight="false" outlineLevel="0" collapsed="false">
      <c r="A45" s="93" t="s">
        <v>588</v>
      </c>
      <c r="B45" s="105"/>
      <c r="C45" s="105"/>
      <c r="D45" s="105"/>
      <c r="E45" s="106"/>
      <c r="F45" s="105"/>
      <c r="G45" s="106"/>
      <c r="H45" s="106"/>
      <c r="I45" s="96" t="str">
        <f aca="false">IF(OR(G45="",H45=""),"",G45*H45)</f>
        <v/>
      </c>
      <c r="J45" s="99" t="str">
        <f aca="false">IF(I45="","",IF(I45&gt;=15,"Crítica",IF(I45&gt;=9,"Alta",IF(I45&gt;=4,"Média","Baixa"))))</f>
        <v/>
      </c>
      <c r="K45" s="105"/>
      <c r="L45" s="105"/>
      <c r="M45" s="106"/>
      <c r="N45" s="96" t="str">
        <f aca="false">IF(B45="","",COUNTIF('Geral - Soluções'!$C$5:$C$500,A45&amp;"*"))</f>
        <v/>
      </c>
      <c r="O45" s="107"/>
      <c r="P45" s="105"/>
      <c r="Q45" s="105"/>
      <c r="R45" s="100" t="str">
        <f aca="false">IF(B45="","",A45&amp;" · "&amp;B45)</f>
        <v/>
      </c>
    </row>
    <row r="46" customFormat="false" ht="15" hidden="false" customHeight="false" outlineLevel="0" collapsed="false">
      <c r="A46" s="101" t="s">
        <v>589</v>
      </c>
      <c r="B46" s="102"/>
      <c r="C46" s="102"/>
      <c r="D46" s="102"/>
      <c r="E46" s="103"/>
      <c r="F46" s="102"/>
      <c r="G46" s="103"/>
      <c r="H46" s="103"/>
      <c r="I46" s="96" t="str">
        <f aca="false">IF(OR(G46="",H46=""),"",G46*H46)</f>
        <v/>
      </c>
      <c r="J46" s="99" t="str">
        <f aca="false">IF(I46="","",IF(I46&gt;=15,"Crítica",IF(I46&gt;=9,"Alta",IF(I46&gt;=4,"Média","Baixa"))))</f>
        <v/>
      </c>
      <c r="K46" s="102"/>
      <c r="L46" s="102"/>
      <c r="M46" s="103"/>
      <c r="N46" s="96" t="str">
        <f aca="false">IF(B46="","",COUNTIF('Geral - Soluções'!$C$5:$C$500,A46&amp;"*"))</f>
        <v/>
      </c>
      <c r="O46" s="104"/>
      <c r="P46" s="102"/>
      <c r="Q46" s="102"/>
      <c r="R46" s="100" t="str">
        <f aca="false">IF(B46="","",A46&amp;" · "&amp;B46)</f>
        <v/>
      </c>
    </row>
    <row r="47" customFormat="false" ht="15" hidden="false" customHeight="false" outlineLevel="0" collapsed="false">
      <c r="A47" s="93" t="s">
        <v>590</v>
      </c>
      <c r="B47" s="105"/>
      <c r="C47" s="105"/>
      <c r="D47" s="105"/>
      <c r="E47" s="106"/>
      <c r="F47" s="105"/>
      <c r="G47" s="106"/>
      <c r="H47" s="106"/>
      <c r="I47" s="96" t="str">
        <f aca="false">IF(OR(G47="",H47=""),"",G47*H47)</f>
        <v/>
      </c>
      <c r="J47" s="99" t="str">
        <f aca="false">IF(I47="","",IF(I47&gt;=15,"Crítica",IF(I47&gt;=9,"Alta",IF(I47&gt;=4,"Média","Baixa"))))</f>
        <v/>
      </c>
      <c r="K47" s="105"/>
      <c r="L47" s="105"/>
      <c r="M47" s="106"/>
      <c r="N47" s="96" t="str">
        <f aca="false">IF(B47="","",COUNTIF('Geral - Soluções'!$C$5:$C$500,A47&amp;"*"))</f>
        <v/>
      </c>
      <c r="O47" s="107"/>
      <c r="P47" s="105"/>
      <c r="Q47" s="105"/>
      <c r="R47" s="100" t="str">
        <f aca="false">IF(B47="","",A47&amp;" · "&amp;B47)</f>
        <v/>
      </c>
    </row>
    <row r="48" customFormat="false" ht="15" hidden="false" customHeight="false" outlineLevel="0" collapsed="false">
      <c r="A48" s="101" t="s">
        <v>591</v>
      </c>
      <c r="B48" s="102"/>
      <c r="C48" s="102"/>
      <c r="D48" s="102"/>
      <c r="E48" s="103"/>
      <c r="F48" s="102"/>
      <c r="G48" s="103"/>
      <c r="H48" s="103"/>
      <c r="I48" s="96" t="str">
        <f aca="false">IF(OR(G48="",H48=""),"",G48*H48)</f>
        <v/>
      </c>
      <c r="J48" s="99" t="str">
        <f aca="false">IF(I48="","",IF(I48&gt;=15,"Crítica",IF(I48&gt;=9,"Alta",IF(I48&gt;=4,"Média","Baixa"))))</f>
        <v/>
      </c>
      <c r="K48" s="102"/>
      <c r="L48" s="102"/>
      <c r="M48" s="103"/>
      <c r="N48" s="96" t="str">
        <f aca="false">IF(B48="","",COUNTIF('Geral - Soluções'!$C$5:$C$500,A48&amp;"*"))</f>
        <v/>
      </c>
      <c r="O48" s="104"/>
      <c r="P48" s="102"/>
      <c r="Q48" s="102"/>
      <c r="R48" s="100" t="str">
        <f aca="false">IF(B48="","",A48&amp;" · "&amp;B48)</f>
        <v/>
      </c>
    </row>
    <row r="49" customFormat="false" ht="15" hidden="false" customHeight="false" outlineLevel="0" collapsed="false">
      <c r="A49" s="93" t="s">
        <v>592</v>
      </c>
      <c r="B49" s="105"/>
      <c r="C49" s="105"/>
      <c r="D49" s="105"/>
      <c r="E49" s="106"/>
      <c r="F49" s="105"/>
      <c r="G49" s="106"/>
      <c r="H49" s="106"/>
      <c r="I49" s="96" t="str">
        <f aca="false">IF(OR(G49="",H49=""),"",G49*H49)</f>
        <v/>
      </c>
      <c r="J49" s="99" t="str">
        <f aca="false">IF(I49="","",IF(I49&gt;=15,"Crítica",IF(I49&gt;=9,"Alta",IF(I49&gt;=4,"Média","Baixa"))))</f>
        <v/>
      </c>
      <c r="K49" s="105"/>
      <c r="L49" s="105"/>
      <c r="M49" s="106"/>
      <c r="N49" s="96" t="str">
        <f aca="false">IF(B49="","",COUNTIF('Geral - Soluções'!$C$5:$C$500,A49&amp;"*"))</f>
        <v/>
      </c>
      <c r="O49" s="107"/>
      <c r="P49" s="105"/>
      <c r="Q49" s="105"/>
      <c r="R49" s="100" t="str">
        <f aca="false">IF(B49="","",A49&amp;" · "&amp;B49)</f>
        <v/>
      </c>
    </row>
    <row r="50" customFormat="false" ht="15" hidden="false" customHeight="false" outlineLevel="0" collapsed="false">
      <c r="A50" s="101" t="s">
        <v>593</v>
      </c>
      <c r="B50" s="102"/>
      <c r="C50" s="102"/>
      <c r="D50" s="102"/>
      <c r="E50" s="103"/>
      <c r="F50" s="102"/>
      <c r="G50" s="103"/>
      <c r="H50" s="103"/>
      <c r="I50" s="96" t="str">
        <f aca="false">IF(OR(G50="",H50=""),"",G50*H50)</f>
        <v/>
      </c>
      <c r="J50" s="99" t="str">
        <f aca="false">IF(I50="","",IF(I50&gt;=15,"Crítica",IF(I50&gt;=9,"Alta",IF(I50&gt;=4,"Média","Baixa"))))</f>
        <v/>
      </c>
      <c r="K50" s="102"/>
      <c r="L50" s="102"/>
      <c r="M50" s="103"/>
      <c r="N50" s="96" t="str">
        <f aca="false">IF(B50="","",COUNTIF('Geral - Soluções'!$C$5:$C$500,A50&amp;"*"))</f>
        <v/>
      </c>
      <c r="O50" s="104"/>
      <c r="P50" s="102"/>
      <c r="Q50" s="102"/>
      <c r="R50" s="100" t="str">
        <f aca="false">IF(B50="","",A50&amp;" · "&amp;B50)</f>
        <v/>
      </c>
    </row>
    <row r="51" customFormat="false" ht="15" hidden="false" customHeight="false" outlineLevel="0" collapsed="false">
      <c r="A51" s="93" t="s">
        <v>594</v>
      </c>
      <c r="B51" s="105"/>
      <c r="C51" s="105"/>
      <c r="D51" s="105"/>
      <c r="E51" s="106"/>
      <c r="F51" s="105"/>
      <c r="G51" s="106"/>
      <c r="H51" s="106"/>
      <c r="I51" s="96" t="str">
        <f aca="false">IF(OR(G51="",H51=""),"",G51*H51)</f>
        <v/>
      </c>
      <c r="J51" s="99" t="str">
        <f aca="false">IF(I51="","",IF(I51&gt;=15,"Crítica",IF(I51&gt;=9,"Alta",IF(I51&gt;=4,"Média","Baixa"))))</f>
        <v/>
      </c>
      <c r="K51" s="105"/>
      <c r="L51" s="105"/>
      <c r="M51" s="106"/>
      <c r="N51" s="96" t="str">
        <f aca="false">IF(B51="","",COUNTIF('Geral - Soluções'!$C$5:$C$500,A51&amp;"*"))</f>
        <v/>
      </c>
      <c r="O51" s="107"/>
      <c r="P51" s="105"/>
      <c r="Q51" s="105"/>
      <c r="R51" s="100" t="str">
        <f aca="false">IF(B51="","",A51&amp;" · "&amp;B51)</f>
        <v/>
      </c>
    </row>
    <row r="52" customFormat="false" ht="15" hidden="false" customHeight="false" outlineLevel="0" collapsed="false">
      <c r="A52" s="101" t="s">
        <v>595</v>
      </c>
      <c r="B52" s="102"/>
      <c r="C52" s="102"/>
      <c r="D52" s="102"/>
      <c r="E52" s="103"/>
      <c r="F52" s="102"/>
      <c r="G52" s="103"/>
      <c r="H52" s="103"/>
      <c r="I52" s="96" t="str">
        <f aca="false">IF(OR(G52="",H52=""),"",G52*H52)</f>
        <v/>
      </c>
      <c r="J52" s="99" t="str">
        <f aca="false">IF(I52="","",IF(I52&gt;=15,"Crítica",IF(I52&gt;=9,"Alta",IF(I52&gt;=4,"Média","Baixa"))))</f>
        <v/>
      </c>
      <c r="K52" s="102"/>
      <c r="L52" s="102"/>
      <c r="M52" s="103"/>
      <c r="N52" s="96" t="str">
        <f aca="false">IF(B52="","",COUNTIF('Geral - Soluções'!$C$5:$C$500,A52&amp;"*"))</f>
        <v/>
      </c>
      <c r="O52" s="104"/>
      <c r="P52" s="102"/>
      <c r="Q52" s="102"/>
      <c r="R52" s="100" t="str">
        <f aca="false">IF(B52="","",A52&amp;" · "&amp;B52)</f>
        <v/>
      </c>
    </row>
    <row r="53" customFormat="false" ht="15" hidden="false" customHeight="false" outlineLevel="0" collapsed="false">
      <c r="A53" s="93" t="s">
        <v>596</v>
      </c>
      <c r="B53" s="105"/>
      <c r="C53" s="105"/>
      <c r="D53" s="105"/>
      <c r="E53" s="106"/>
      <c r="F53" s="105"/>
      <c r="G53" s="106"/>
      <c r="H53" s="106"/>
      <c r="I53" s="96" t="str">
        <f aca="false">IF(OR(G53="",H53=""),"",G53*H53)</f>
        <v/>
      </c>
      <c r="J53" s="99" t="str">
        <f aca="false">IF(I53="","",IF(I53&gt;=15,"Crítica",IF(I53&gt;=9,"Alta",IF(I53&gt;=4,"Média","Baixa"))))</f>
        <v/>
      </c>
      <c r="K53" s="105"/>
      <c r="L53" s="105"/>
      <c r="M53" s="106"/>
      <c r="N53" s="96" t="str">
        <f aca="false">IF(B53="","",COUNTIF('Geral - Soluções'!$C$5:$C$500,A53&amp;"*"))</f>
        <v/>
      </c>
      <c r="O53" s="107"/>
      <c r="P53" s="105"/>
      <c r="Q53" s="105"/>
      <c r="R53" s="100" t="str">
        <f aca="false">IF(B53="","",A53&amp;" · "&amp;B53)</f>
        <v/>
      </c>
    </row>
    <row r="54" customFormat="false" ht="15" hidden="false" customHeight="false" outlineLevel="0" collapsed="false">
      <c r="A54" s="101" t="s">
        <v>597</v>
      </c>
      <c r="B54" s="102"/>
      <c r="C54" s="102"/>
      <c r="D54" s="102"/>
      <c r="E54" s="103"/>
      <c r="F54" s="102"/>
      <c r="G54" s="103"/>
      <c r="H54" s="103"/>
      <c r="I54" s="96" t="str">
        <f aca="false">IF(OR(G54="",H54=""),"",G54*H54)</f>
        <v/>
      </c>
      <c r="J54" s="99" t="str">
        <f aca="false">IF(I54="","",IF(I54&gt;=15,"Crítica",IF(I54&gt;=9,"Alta",IF(I54&gt;=4,"Média","Baixa"))))</f>
        <v/>
      </c>
      <c r="K54" s="102"/>
      <c r="L54" s="102"/>
      <c r="M54" s="103"/>
      <c r="N54" s="96" t="str">
        <f aca="false">IF(B54="","",COUNTIF('Geral - Soluções'!$C$5:$C$500,A54&amp;"*"))</f>
        <v/>
      </c>
      <c r="O54" s="104"/>
      <c r="P54" s="102"/>
      <c r="Q54" s="102"/>
      <c r="R54" s="100" t="str">
        <f aca="false">IF(B54="","",A54&amp;" · "&amp;B54)</f>
        <v/>
      </c>
    </row>
    <row r="55" customFormat="false" ht="15" hidden="false" customHeight="false" outlineLevel="0" collapsed="false">
      <c r="A55" s="93" t="s">
        <v>598</v>
      </c>
      <c r="B55" s="105"/>
      <c r="C55" s="105"/>
      <c r="D55" s="105"/>
      <c r="E55" s="106"/>
      <c r="F55" s="105"/>
      <c r="G55" s="106"/>
      <c r="H55" s="106"/>
      <c r="I55" s="96" t="str">
        <f aca="false">IF(OR(G55="",H55=""),"",G55*H55)</f>
        <v/>
      </c>
      <c r="J55" s="99" t="str">
        <f aca="false">IF(I55="","",IF(I55&gt;=15,"Crítica",IF(I55&gt;=9,"Alta",IF(I55&gt;=4,"Média","Baixa"))))</f>
        <v/>
      </c>
      <c r="K55" s="105"/>
      <c r="L55" s="105"/>
      <c r="M55" s="106"/>
      <c r="N55" s="96" t="str">
        <f aca="false">IF(B55="","",COUNTIF('Geral - Soluções'!$C$5:$C$500,A55&amp;"*"))</f>
        <v/>
      </c>
      <c r="O55" s="107"/>
      <c r="P55" s="105"/>
      <c r="Q55" s="105"/>
      <c r="R55" s="100" t="str">
        <f aca="false">IF(B55="","",A55&amp;" · "&amp;B55)</f>
        <v/>
      </c>
    </row>
    <row r="56" customFormat="false" ht="15" hidden="false" customHeight="false" outlineLevel="0" collapsed="false">
      <c r="A56" s="101" t="s">
        <v>599</v>
      </c>
      <c r="B56" s="102"/>
      <c r="C56" s="102"/>
      <c r="D56" s="102"/>
      <c r="E56" s="103"/>
      <c r="F56" s="102"/>
      <c r="G56" s="103"/>
      <c r="H56" s="103"/>
      <c r="I56" s="96" t="str">
        <f aca="false">IF(OR(G56="",H56=""),"",G56*H56)</f>
        <v/>
      </c>
      <c r="J56" s="99" t="str">
        <f aca="false">IF(I56="","",IF(I56&gt;=15,"Crítica",IF(I56&gt;=9,"Alta",IF(I56&gt;=4,"Média","Baixa"))))</f>
        <v/>
      </c>
      <c r="K56" s="102"/>
      <c r="L56" s="102"/>
      <c r="M56" s="103"/>
      <c r="N56" s="96" t="str">
        <f aca="false">IF(B56="","",COUNTIF('Geral - Soluções'!$C$5:$C$500,A56&amp;"*"))</f>
        <v/>
      </c>
      <c r="O56" s="104"/>
      <c r="P56" s="102"/>
      <c r="Q56" s="102"/>
      <c r="R56" s="100" t="str">
        <f aca="false">IF(B56="","",A56&amp;" · "&amp;B56)</f>
        <v/>
      </c>
    </row>
    <row r="57" customFormat="false" ht="15" hidden="false" customHeight="false" outlineLevel="0" collapsed="false">
      <c r="A57" s="93" t="s">
        <v>600</v>
      </c>
      <c r="B57" s="105"/>
      <c r="C57" s="105"/>
      <c r="D57" s="105"/>
      <c r="E57" s="106"/>
      <c r="F57" s="105"/>
      <c r="G57" s="106"/>
      <c r="H57" s="106"/>
      <c r="I57" s="96" t="str">
        <f aca="false">IF(OR(G57="",H57=""),"",G57*H57)</f>
        <v/>
      </c>
      <c r="J57" s="99" t="str">
        <f aca="false">IF(I57="","",IF(I57&gt;=15,"Crítica",IF(I57&gt;=9,"Alta",IF(I57&gt;=4,"Média","Baixa"))))</f>
        <v/>
      </c>
      <c r="K57" s="105"/>
      <c r="L57" s="105"/>
      <c r="M57" s="106"/>
      <c r="N57" s="96" t="str">
        <f aca="false">IF(B57="","",COUNTIF('Geral - Soluções'!$C$5:$C$500,A57&amp;"*"))</f>
        <v/>
      </c>
      <c r="O57" s="107"/>
      <c r="P57" s="105"/>
      <c r="Q57" s="105"/>
      <c r="R57" s="100" t="str">
        <f aca="false">IF(B57="","",A57&amp;" · "&amp;B57)</f>
        <v/>
      </c>
    </row>
    <row r="58" customFormat="false" ht="15" hidden="false" customHeight="false" outlineLevel="0" collapsed="false">
      <c r="A58" s="101" t="s">
        <v>601</v>
      </c>
      <c r="B58" s="102"/>
      <c r="C58" s="102"/>
      <c r="D58" s="102"/>
      <c r="E58" s="103"/>
      <c r="F58" s="102"/>
      <c r="G58" s="103"/>
      <c r="H58" s="103"/>
      <c r="I58" s="96" t="str">
        <f aca="false">IF(OR(G58="",H58=""),"",G58*H58)</f>
        <v/>
      </c>
      <c r="J58" s="99" t="str">
        <f aca="false">IF(I58="","",IF(I58&gt;=15,"Crítica",IF(I58&gt;=9,"Alta",IF(I58&gt;=4,"Média","Baixa"))))</f>
        <v/>
      </c>
      <c r="K58" s="102"/>
      <c r="L58" s="102"/>
      <c r="M58" s="103"/>
      <c r="N58" s="96" t="str">
        <f aca="false">IF(B58="","",COUNTIF('Geral - Soluções'!$C$5:$C$500,A58&amp;"*"))</f>
        <v/>
      </c>
      <c r="O58" s="104"/>
      <c r="P58" s="102"/>
      <c r="Q58" s="102"/>
      <c r="R58" s="100" t="str">
        <f aca="false">IF(B58="","",A58&amp;" · "&amp;B58)</f>
        <v/>
      </c>
    </row>
    <row r="59" customFormat="false" ht="15" hidden="false" customHeight="false" outlineLevel="0" collapsed="false">
      <c r="A59" s="93" t="s">
        <v>602</v>
      </c>
      <c r="B59" s="105"/>
      <c r="C59" s="105"/>
      <c r="D59" s="105"/>
      <c r="E59" s="106"/>
      <c r="F59" s="105"/>
      <c r="G59" s="106"/>
      <c r="H59" s="106"/>
      <c r="I59" s="96" t="str">
        <f aca="false">IF(OR(G59="",H59=""),"",G59*H59)</f>
        <v/>
      </c>
      <c r="J59" s="99" t="str">
        <f aca="false">IF(I59="","",IF(I59&gt;=15,"Crítica",IF(I59&gt;=9,"Alta",IF(I59&gt;=4,"Média","Baixa"))))</f>
        <v/>
      </c>
      <c r="K59" s="105"/>
      <c r="L59" s="105"/>
      <c r="M59" s="106"/>
      <c r="N59" s="96" t="str">
        <f aca="false">IF(B59="","",COUNTIF('Geral - Soluções'!$C$5:$C$500,A59&amp;"*"))</f>
        <v/>
      </c>
      <c r="O59" s="107"/>
      <c r="P59" s="105"/>
      <c r="Q59" s="105"/>
      <c r="R59" s="100" t="str">
        <f aca="false">IF(B59="","",A59&amp;" · "&amp;B59)</f>
        <v/>
      </c>
    </row>
    <row r="60" customFormat="false" ht="15" hidden="false" customHeight="false" outlineLevel="0" collapsed="false">
      <c r="A60" s="101" t="s">
        <v>603</v>
      </c>
      <c r="B60" s="102"/>
      <c r="C60" s="102"/>
      <c r="D60" s="102"/>
      <c r="E60" s="103"/>
      <c r="F60" s="102"/>
      <c r="G60" s="103"/>
      <c r="H60" s="103"/>
      <c r="I60" s="96" t="str">
        <f aca="false">IF(OR(G60="",H60=""),"",G60*H60)</f>
        <v/>
      </c>
      <c r="J60" s="99" t="str">
        <f aca="false">IF(I60="","",IF(I60&gt;=15,"Crítica",IF(I60&gt;=9,"Alta",IF(I60&gt;=4,"Média","Baixa"))))</f>
        <v/>
      </c>
      <c r="K60" s="102"/>
      <c r="L60" s="102"/>
      <c r="M60" s="103"/>
      <c r="N60" s="96" t="str">
        <f aca="false">IF(B60="","",COUNTIF('Geral - Soluções'!$C$5:$C$500,A60&amp;"*"))</f>
        <v/>
      </c>
      <c r="O60" s="104"/>
      <c r="P60" s="102"/>
      <c r="Q60" s="102"/>
      <c r="R60" s="100" t="str">
        <f aca="false">IF(B60="","",A60&amp;" · "&amp;B60)</f>
        <v/>
      </c>
    </row>
    <row r="61" customFormat="false" ht="15" hidden="false" customHeight="false" outlineLevel="0" collapsed="false">
      <c r="A61" s="93" t="s">
        <v>604</v>
      </c>
      <c r="B61" s="105"/>
      <c r="C61" s="105"/>
      <c r="D61" s="105"/>
      <c r="E61" s="106"/>
      <c r="F61" s="105"/>
      <c r="G61" s="106"/>
      <c r="H61" s="106"/>
      <c r="I61" s="96" t="str">
        <f aca="false">IF(OR(G61="",H61=""),"",G61*H61)</f>
        <v/>
      </c>
      <c r="J61" s="99" t="str">
        <f aca="false">IF(I61="","",IF(I61&gt;=15,"Crítica",IF(I61&gt;=9,"Alta",IF(I61&gt;=4,"Média","Baixa"))))</f>
        <v/>
      </c>
      <c r="K61" s="105"/>
      <c r="L61" s="105"/>
      <c r="M61" s="106"/>
      <c r="N61" s="96" t="str">
        <f aca="false">IF(B61="","",COUNTIF('Geral - Soluções'!$C$5:$C$500,A61&amp;"*"))</f>
        <v/>
      </c>
      <c r="O61" s="107"/>
      <c r="P61" s="105"/>
      <c r="Q61" s="105"/>
      <c r="R61" s="100" t="str">
        <f aca="false">IF(B61="","",A61&amp;" · "&amp;B61)</f>
        <v/>
      </c>
    </row>
    <row r="62" customFormat="false" ht="15" hidden="false" customHeight="false" outlineLevel="0" collapsed="false">
      <c r="A62" s="101" t="s">
        <v>605</v>
      </c>
      <c r="B62" s="102"/>
      <c r="C62" s="102"/>
      <c r="D62" s="102"/>
      <c r="E62" s="103"/>
      <c r="F62" s="102"/>
      <c r="G62" s="103"/>
      <c r="H62" s="103"/>
      <c r="I62" s="96" t="str">
        <f aca="false">IF(OR(G62="",H62=""),"",G62*H62)</f>
        <v/>
      </c>
      <c r="J62" s="99" t="str">
        <f aca="false">IF(I62="","",IF(I62&gt;=15,"Crítica",IF(I62&gt;=9,"Alta",IF(I62&gt;=4,"Média","Baixa"))))</f>
        <v/>
      </c>
      <c r="K62" s="102"/>
      <c r="L62" s="102"/>
      <c r="M62" s="103"/>
      <c r="N62" s="96" t="str">
        <f aca="false">IF(B62="","",COUNTIF('Geral - Soluções'!$C$5:$C$500,A62&amp;"*"))</f>
        <v/>
      </c>
      <c r="O62" s="104"/>
      <c r="P62" s="102"/>
      <c r="Q62" s="102"/>
      <c r="R62" s="100" t="str">
        <f aca="false">IF(B62="","",A62&amp;" · "&amp;B62)</f>
        <v/>
      </c>
    </row>
    <row r="63" customFormat="false" ht="15" hidden="false" customHeight="false" outlineLevel="0" collapsed="false">
      <c r="A63" s="93" t="s">
        <v>606</v>
      </c>
      <c r="B63" s="105"/>
      <c r="C63" s="105"/>
      <c r="D63" s="105"/>
      <c r="E63" s="106"/>
      <c r="F63" s="105"/>
      <c r="G63" s="106"/>
      <c r="H63" s="106"/>
      <c r="I63" s="96" t="str">
        <f aca="false">IF(OR(G63="",H63=""),"",G63*H63)</f>
        <v/>
      </c>
      <c r="J63" s="99" t="str">
        <f aca="false">IF(I63="","",IF(I63&gt;=15,"Crítica",IF(I63&gt;=9,"Alta",IF(I63&gt;=4,"Média","Baixa"))))</f>
        <v/>
      </c>
      <c r="K63" s="105"/>
      <c r="L63" s="105"/>
      <c r="M63" s="106"/>
      <c r="N63" s="96" t="str">
        <f aca="false">IF(B63="","",COUNTIF('Geral - Soluções'!$C$5:$C$500,A63&amp;"*"))</f>
        <v/>
      </c>
      <c r="O63" s="107"/>
      <c r="P63" s="105"/>
      <c r="Q63" s="105"/>
      <c r="R63" s="100" t="str">
        <f aca="false">IF(B63="","",A63&amp;" · "&amp;B63)</f>
        <v/>
      </c>
    </row>
    <row r="64" customFormat="false" ht="15" hidden="false" customHeight="false" outlineLevel="0" collapsed="false">
      <c r="A64" s="101" t="s">
        <v>607</v>
      </c>
      <c r="B64" s="102"/>
      <c r="C64" s="102"/>
      <c r="D64" s="102"/>
      <c r="E64" s="103"/>
      <c r="F64" s="102"/>
      <c r="G64" s="103"/>
      <c r="H64" s="103"/>
      <c r="I64" s="96" t="str">
        <f aca="false">IF(OR(G64="",H64=""),"",G64*H64)</f>
        <v/>
      </c>
      <c r="J64" s="99" t="str">
        <f aca="false">IF(I64="","",IF(I64&gt;=15,"Crítica",IF(I64&gt;=9,"Alta",IF(I64&gt;=4,"Média","Baixa"))))</f>
        <v/>
      </c>
      <c r="K64" s="102"/>
      <c r="L64" s="102"/>
      <c r="M64" s="103"/>
      <c r="N64" s="96" t="str">
        <f aca="false">IF(B64="","",COUNTIF('Geral - Soluções'!$C$5:$C$500,A64&amp;"*"))</f>
        <v/>
      </c>
      <c r="O64" s="104"/>
      <c r="P64" s="102"/>
      <c r="Q64" s="102"/>
      <c r="R64" s="100" t="str">
        <f aca="false">IF(B64="","",A64&amp;" · "&amp;B64)</f>
        <v/>
      </c>
    </row>
    <row r="65" customFormat="false" ht="15" hidden="false" customHeight="false" outlineLevel="0" collapsed="false">
      <c r="A65" s="93" t="s">
        <v>608</v>
      </c>
      <c r="B65" s="105"/>
      <c r="C65" s="105"/>
      <c r="D65" s="105"/>
      <c r="E65" s="106"/>
      <c r="F65" s="105"/>
      <c r="G65" s="106"/>
      <c r="H65" s="106"/>
      <c r="I65" s="96" t="str">
        <f aca="false">IF(OR(G65="",H65=""),"",G65*H65)</f>
        <v/>
      </c>
      <c r="J65" s="99" t="str">
        <f aca="false">IF(I65="","",IF(I65&gt;=15,"Crítica",IF(I65&gt;=9,"Alta",IF(I65&gt;=4,"Média","Baixa"))))</f>
        <v/>
      </c>
      <c r="K65" s="105"/>
      <c r="L65" s="105"/>
      <c r="M65" s="106"/>
      <c r="N65" s="96" t="str">
        <f aca="false">IF(B65="","",COUNTIF('Geral - Soluções'!$C$5:$C$500,A65&amp;"*"))</f>
        <v/>
      </c>
      <c r="O65" s="107"/>
      <c r="P65" s="105"/>
      <c r="Q65" s="105"/>
      <c r="R65" s="100" t="str">
        <f aca="false">IF(B65="","",A65&amp;" · "&amp;B65)</f>
        <v/>
      </c>
    </row>
    <row r="66" customFormat="false" ht="15" hidden="false" customHeight="false" outlineLevel="0" collapsed="false">
      <c r="A66" s="101" t="s">
        <v>609</v>
      </c>
      <c r="B66" s="102"/>
      <c r="C66" s="102"/>
      <c r="D66" s="102"/>
      <c r="E66" s="103"/>
      <c r="F66" s="102"/>
      <c r="G66" s="103"/>
      <c r="H66" s="103"/>
      <c r="I66" s="96" t="str">
        <f aca="false">IF(OR(G66="",H66=""),"",G66*H66)</f>
        <v/>
      </c>
      <c r="J66" s="99" t="str">
        <f aca="false">IF(I66="","",IF(I66&gt;=15,"Crítica",IF(I66&gt;=9,"Alta",IF(I66&gt;=4,"Média","Baixa"))))</f>
        <v/>
      </c>
      <c r="K66" s="102"/>
      <c r="L66" s="102"/>
      <c r="M66" s="103"/>
      <c r="N66" s="96" t="str">
        <f aca="false">IF(B66="","",COUNTIF('Geral - Soluções'!$C$5:$C$500,A66&amp;"*"))</f>
        <v/>
      </c>
      <c r="O66" s="104"/>
      <c r="P66" s="102"/>
      <c r="Q66" s="102"/>
      <c r="R66" s="100" t="str">
        <f aca="false">IF(B66="","",A66&amp;" · "&amp;B66)</f>
        <v/>
      </c>
    </row>
    <row r="67" customFormat="false" ht="15" hidden="false" customHeight="false" outlineLevel="0" collapsed="false">
      <c r="A67" s="93" t="s">
        <v>610</v>
      </c>
      <c r="B67" s="105"/>
      <c r="C67" s="105"/>
      <c r="D67" s="105"/>
      <c r="E67" s="106"/>
      <c r="F67" s="105"/>
      <c r="G67" s="106"/>
      <c r="H67" s="106"/>
      <c r="I67" s="96" t="str">
        <f aca="false">IF(OR(G67="",H67=""),"",G67*H67)</f>
        <v/>
      </c>
      <c r="J67" s="99" t="str">
        <f aca="false">IF(I67="","",IF(I67&gt;=15,"Crítica",IF(I67&gt;=9,"Alta",IF(I67&gt;=4,"Média","Baixa"))))</f>
        <v/>
      </c>
      <c r="K67" s="105"/>
      <c r="L67" s="105"/>
      <c r="M67" s="106"/>
      <c r="N67" s="96" t="str">
        <f aca="false">IF(B67="","",COUNTIF('Geral - Soluções'!$C$5:$C$500,A67&amp;"*"))</f>
        <v/>
      </c>
      <c r="O67" s="107"/>
      <c r="P67" s="105"/>
      <c r="Q67" s="105"/>
      <c r="R67" s="100" t="str">
        <f aca="false">IF(B67="","",A67&amp;" · "&amp;B67)</f>
        <v/>
      </c>
    </row>
    <row r="68" customFormat="false" ht="15" hidden="false" customHeight="false" outlineLevel="0" collapsed="false">
      <c r="A68" s="101" t="s">
        <v>611</v>
      </c>
      <c r="B68" s="102"/>
      <c r="C68" s="102"/>
      <c r="D68" s="102"/>
      <c r="E68" s="103"/>
      <c r="F68" s="102"/>
      <c r="G68" s="103"/>
      <c r="H68" s="103"/>
      <c r="I68" s="96" t="str">
        <f aca="false">IF(OR(G68="",H68=""),"",G68*H68)</f>
        <v/>
      </c>
      <c r="J68" s="99" t="str">
        <f aca="false">IF(I68="","",IF(I68&gt;=15,"Crítica",IF(I68&gt;=9,"Alta",IF(I68&gt;=4,"Média","Baixa"))))</f>
        <v/>
      </c>
      <c r="K68" s="102"/>
      <c r="L68" s="102"/>
      <c r="M68" s="103"/>
      <c r="N68" s="96" t="str">
        <f aca="false">IF(B68="","",COUNTIF('Geral - Soluções'!$C$5:$C$500,A68&amp;"*"))</f>
        <v/>
      </c>
      <c r="O68" s="104"/>
      <c r="P68" s="102"/>
      <c r="Q68" s="102"/>
      <c r="R68" s="100" t="str">
        <f aca="false">IF(B68="","",A68&amp;" · "&amp;B68)</f>
        <v/>
      </c>
    </row>
    <row r="69" customFormat="false" ht="15" hidden="false" customHeight="false" outlineLevel="0" collapsed="false">
      <c r="A69" s="93" t="s">
        <v>612</v>
      </c>
      <c r="B69" s="105"/>
      <c r="C69" s="105"/>
      <c r="D69" s="105"/>
      <c r="E69" s="106"/>
      <c r="F69" s="105"/>
      <c r="G69" s="106"/>
      <c r="H69" s="106"/>
      <c r="I69" s="96" t="str">
        <f aca="false">IF(OR(G69="",H69=""),"",G69*H69)</f>
        <v/>
      </c>
      <c r="J69" s="99" t="str">
        <f aca="false">IF(I69="","",IF(I69&gt;=15,"Crítica",IF(I69&gt;=9,"Alta",IF(I69&gt;=4,"Média","Baixa"))))</f>
        <v/>
      </c>
      <c r="K69" s="105"/>
      <c r="L69" s="105"/>
      <c r="M69" s="106"/>
      <c r="N69" s="96" t="str">
        <f aca="false">IF(B69="","",COUNTIF('Geral - Soluções'!$C$5:$C$500,A69&amp;"*"))</f>
        <v/>
      </c>
      <c r="O69" s="107"/>
      <c r="P69" s="105"/>
      <c r="Q69" s="105"/>
      <c r="R69" s="100" t="str">
        <f aca="false">IF(B69="","",A69&amp;" · "&amp;B69)</f>
        <v/>
      </c>
    </row>
    <row r="70" customFormat="false" ht="15" hidden="false" customHeight="false" outlineLevel="0" collapsed="false">
      <c r="A70" s="101" t="s">
        <v>613</v>
      </c>
      <c r="B70" s="102"/>
      <c r="C70" s="102"/>
      <c r="D70" s="102"/>
      <c r="E70" s="103"/>
      <c r="F70" s="102"/>
      <c r="G70" s="103"/>
      <c r="H70" s="103"/>
      <c r="I70" s="96" t="str">
        <f aca="false">IF(OR(G70="",H70=""),"",G70*H70)</f>
        <v/>
      </c>
      <c r="J70" s="99" t="str">
        <f aca="false">IF(I70="","",IF(I70&gt;=15,"Crítica",IF(I70&gt;=9,"Alta",IF(I70&gt;=4,"Média","Baixa"))))</f>
        <v/>
      </c>
      <c r="K70" s="102"/>
      <c r="L70" s="102"/>
      <c r="M70" s="103"/>
      <c r="N70" s="96" t="str">
        <f aca="false">IF(B70="","",COUNTIF('Geral - Soluções'!$C$5:$C$500,A70&amp;"*"))</f>
        <v/>
      </c>
      <c r="O70" s="104"/>
      <c r="P70" s="102"/>
      <c r="Q70" s="102"/>
      <c r="R70" s="100" t="str">
        <f aca="false">IF(B70="","",A70&amp;" · "&amp;B70)</f>
        <v/>
      </c>
    </row>
    <row r="71" customFormat="false" ht="15" hidden="false" customHeight="false" outlineLevel="0" collapsed="false">
      <c r="A71" s="93" t="s">
        <v>614</v>
      </c>
      <c r="B71" s="105"/>
      <c r="C71" s="105"/>
      <c r="D71" s="105"/>
      <c r="E71" s="106"/>
      <c r="F71" s="105"/>
      <c r="G71" s="106"/>
      <c r="H71" s="106"/>
      <c r="I71" s="96" t="str">
        <f aca="false">IF(OR(G71="",H71=""),"",G71*H71)</f>
        <v/>
      </c>
      <c r="J71" s="99" t="str">
        <f aca="false">IF(I71="","",IF(I71&gt;=15,"Crítica",IF(I71&gt;=9,"Alta",IF(I71&gt;=4,"Média","Baixa"))))</f>
        <v/>
      </c>
      <c r="K71" s="105"/>
      <c r="L71" s="105"/>
      <c r="M71" s="106"/>
      <c r="N71" s="96" t="str">
        <f aca="false">IF(B71="","",COUNTIF('Geral - Soluções'!$C$5:$C$500,A71&amp;"*"))</f>
        <v/>
      </c>
      <c r="O71" s="107"/>
      <c r="P71" s="105"/>
      <c r="Q71" s="105"/>
      <c r="R71" s="100" t="str">
        <f aca="false">IF(B71="","",A71&amp;" · "&amp;B71)</f>
        <v/>
      </c>
    </row>
    <row r="72" customFormat="false" ht="15" hidden="false" customHeight="false" outlineLevel="0" collapsed="false">
      <c r="A72" s="101" t="s">
        <v>615</v>
      </c>
      <c r="B72" s="102"/>
      <c r="C72" s="102"/>
      <c r="D72" s="102"/>
      <c r="E72" s="103"/>
      <c r="F72" s="102"/>
      <c r="G72" s="103"/>
      <c r="H72" s="103"/>
      <c r="I72" s="96" t="str">
        <f aca="false">IF(OR(G72="",H72=""),"",G72*H72)</f>
        <v/>
      </c>
      <c r="J72" s="99" t="str">
        <f aca="false">IF(I72="","",IF(I72&gt;=15,"Crítica",IF(I72&gt;=9,"Alta",IF(I72&gt;=4,"Média","Baixa"))))</f>
        <v/>
      </c>
      <c r="K72" s="102"/>
      <c r="L72" s="102"/>
      <c r="M72" s="103"/>
      <c r="N72" s="96" t="str">
        <f aca="false">IF(B72="","",COUNTIF('Geral - Soluções'!$C$5:$C$500,A72&amp;"*"))</f>
        <v/>
      </c>
      <c r="O72" s="104"/>
      <c r="P72" s="102"/>
      <c r="Q72" s="102"/>
      <c r="R72" s="100" t="str">
        <f aca="false">IF(B72="","",A72&amp;" · "&amp;B72)</f>
        <v/>
      </c>
    </row>
    <row r="73" customFormat="false" ht="15" hidden="false" customHeight="false" outlineLevel="0" collapsed="false">
      <c r="A73" s="93" t="s">
        <v>616</v>
      </c>
      <c r="B73" s="105"/>
      <c r="C73" s="105"/>
      <c r="D73" s="105"/>
      <c r="E73" s="106"/>
      <c r="F73" s="105"/>
      <c r="G73" s="106"/>
      <c r="H73" s="106"/>
      <c r="I73" s="96" t="str">
        <f aca="false">IF(OR(G73="",H73=""),"",G73*H73)</f>
        <v/>
      </c>
      <c r="J73" s="99" t="str">
        <f aca="false">IF(I73="","",IF(I73&gt;=15,"Crítica",IF(I73&gt;=9,"Alta",IF(I73&gt;=4,"Média","Baixa"))))</f>
        <v/>
      </c>
      <c r="K73" s="105"/>
      <c r="L73" s="105"/>
      <c r="M73" s="106"/>
      <c r="N73" s="96" t="str">
        <f aca="false">IF(B73="","",COUNTIF('Geral - Soluções'!$C$5:$C$500,A73&amp;"*"))</f>
        <v/>
      </c>
      <c r="O73" s="107"/>
      <c r="P73" s="105"/>
      <c r="Q73" s="105"/>
      <c r="R73" s="100" t="str">
        <f aca="false">IF(B73="","",A73&amp;" · "&amp;B73)</f>
        <v/>
      </c>
    </row>
    <row r="74" customFormat="false" ht="15" hidden="false" customHeight="false" outlineLevel="0" collapsed="false">
      <c r="A74" s="101" t="s">
        <v>617</v>
      </c>
      <c r="B74" s="102"/>
      <c r="C74" s="102"/>
      <c r="D74" s="102"/>
      <c r="E74" s="103"/>
      <c r="F74" s="102"/>
      <c r="G74" s="103"/>
      <c r="H74" s="103"/>
      <c r="I74" s="96" t="str">
        <f aca="false">IF(OR(G74="",H74=""),"",G74*H74)</f>
        <v/>
      </c>
      <c r="J74" s="99" t="str">
        <f aca="false">IF(I74="","",IF(I74&gt;=15,"Crítica",IF(I74&gt;=9,"Alta",IF(I74&gt;=4,"Média","Baixa"))))</f>
        <v/>
      </c>
      <c r="K74" s="102"/>
      <c r="L74" s="102"/>
      <c r="M74" s="103"/>
      <c r="N74" s="96" t="str">
        <f aca="false">IF(B74="","",COUNTIF('Geral - Soluções'!$C$5:$C$500,A74&amp;"*"))</f>
        <v/>
      </c>
      <c r="O74" s="104"/>
      <c r="P74" s="102"/>
      <c r="Q74" s="102"/>
      <c r="R74" s="100" t="str">
        <f aca="false">IF(B74="","",A74&amp;" · "&amp;B74)</f>
        <v/>
      </c>
    </row>
    <row r="75" customFormat="false" ht="15" hidden="false" customHeight="false" outlineLevel="0" collapsed="false">
      <c r="A75" s="93" t="s">
        <v>618</v>
      </c>
      <c r="B75" s="105"/>
      <c r="C75" s="105"/>
      <c r="D75" s="105"/>
      <c r="E75" s="106"/>
      <c r="F75" s="105"/>
      <c r="G75" s="106"/>
      <c r="H75" s="106"/>
      <c r="I75" s="96" t="str">
        <f aca="false">IF(OR(G75="",H75=""),"",G75*H75)</f>
        <v/>
      </c>
      <c r="J75" s="99" t="str">
        <f aca="false">IF(I75="","",IF(I75&gt;=15,"Crítica",IF(I75&gt;=9,"Alta",IF(I75&gt;=4,"Média","Baixa"))))</f>
        <v/>
      </c>
      <c r="K75" s="105"/>
      <c r="L75" s="105"/>
      <c r="M75" s="106"/>
      <c r="N75" s="96" t="str">
        <f aca="false">IF(B75="","",COUNTIF('Geral - Soluções'!$C$5:$C$500,A75&amp;"*"))</f>
        <v/>
      </c>
      <c r="O75" s="107"/>
      <c r="P75" s="105"/>
      <c r="Q75" s="105"/>
      <c r="R75" s="100" t="str">
        <f aca="false">IF(B75="","",A75&amp;" · "&amp;B75)</f>
        <v/>
      </c>
    </row>
    <row r="76" customFormat="false" ht="15" hidden="false" customHeight="false" outlineLevel="0" collapsed="false">
      <c r="A76" s="101" t="s">
        <v>619</v>
      </c>
      <c r="B76" s="102"/>
      <c r="C76" s="102"/>
      <c r="D76" s="102"/>
      <c r="E76" s="103"/>
      <c r="F76" s="102"/>
      <c r="G76" s="103"/>
      <c r="H76" s="103"/>
      <c r="I76" s="96" t="str">
        <f aca="false">IF(OR(G76="",H76=""),"",G76*H76)</f>
        <v/>
      </c>
      <c r="J76" s="99" t="str">
        <f aca="false">IF(I76="","",IF(I76&gt;=15,"Crítica",IF(I76&gt;=9,"Alta",IF(I76&gt;=4,"Média","Baixa"))))</f>
        <v/>
      </c>
      <c r="K76" s="102"/>
      <c r="L76" s="102"/>
      <c r="M76" s="103"/>
      <c r="N76" s="96" t="str">
        <f aca="false">IF(B76="","",COUNTIF('Geral - Soluções'!$C$5:$C$500,A76&amp;"*"))</f>
        <v/>
      </c>
      <c r="O76" s="104"/>
      <c r="P76" s="102"/>
      <c r="Q76" s="102"/>
      <c r="R76" s="100" t="str">
        <f aca="false">IF(B76="","",A76&amp;" · "&amp;B76)</f>
        <v/>
      </c>
    </row>
    <row r="77" customFormat="false" ht="15" hidden="false" customHeight="false" outlineLevel="0" collapsed="false">
      <c r="A77" s="93" t="s">
        <v>620</v>
      </c>
      <c r="B77" s="105"/>
      <c r="C77" s="105"/>
      <c r="D77" s="105"/>
      <c r="E77" s="106"/>
      <c r="F77" s="105"/>
      <c r="G77" s="106"/>
      <c r="H77" s="106"/>
      <c r="I77" s="96" t="str">
        <f aca="false">IF(OR(G77="",H77=""),"",G77*H77)</f>
        <v/>
      </c>
      <c r="J77" s="99" t="str">
        <f aca="false">IF(I77="","",IF(I77&gt;=15,"Crítica",IF(I77&gt;=9,"Alta",IF(I77&gt;=4,"Média","Baixa"))))</f>
        <v/>
      </c>
      <c r="K77" s="105"/>
      <c r="L77" s="105"/>
      <c r="M77" s="106"/>
      <c r="N77" s="96" t="str">
        <f aca="false">IF(B77="","",COUNTIF('Geral - Soluções'!$C$5:$C$500,A77&amp;"*"))</f>
        <v/>
      </c>
      <c r="O77" s="107"/>
      <c r="P77" s="105"/>
      <c r="Q77" s="105"/>
      <c r="R77" s="100" t="str">
        <f aca="false">IF(B77="","",A77&amp;" · "&amp;B77)</f>
        <v/>
      </c>
    </row>
    <row r="78" customFormat="false" ht="15" hidden="false" customHeight="false" outlineLevel="0" collapsed="false">
      <c r="A78" s="101" t="s">
        <v>621</v>
      </c>
      <c r="B78" s="102"/>
      <c r="C78" s="102"/>
      <c r="D78" s="102"/>
      <c r="E78" s="103"/>
      <c r="F78" s="102"/>
      <c r="G78" s="103"/>
      <c r="H78" s="103"/>
      <c r="I78" s="96" t="str">
        <f aca="false">IF(OR(G78="",H78=""),"",G78*H78)</f>
        <v/>
      </c>
      <c r="J78" s="99" t="str">
        <f aca="false">IF(I78="","",IF(I78&gt;=15,"Crítica",IF(I78&gt;=9,"Alta",IF(I78&gt;=4,"Média","Baixa"))))</f>
        <v/>
      </c>
      <c r="K78" s="102"/>
      <c r="L78" s="102"/>
      <c r="M78" s="103"/>
      <c r="N78" s="96" t="str">
        <f aca="false">IF(B78="","",COUNTIF('Geral - Soluções'!$C$5:$C$500,A78&amp;"*"))</f>
        <v/>
      </c>
      <c r="O78" s="104"/>
      <c r="P78" s="102"/>
      <c r="Q78" s="102"/>
      <c r="R78" s="100" t="str">
        <f aca="false">IF(B78="","",A78&amp;" · "&amp;B78)</f>
        <v/>
      </c>
    </row>
    <row r="79" customFormat="false" ht="15" hidden="false" customHeight="false" outlineLevel="0" collapsed="false">
      <c r="A79" s="93" t="s">
        <v>622</v>
      </c>
      <c r="B79" s="105"/>
      <c r="C79" s="105"/>
      <c r="D79" s="105"/>
      <c r="E79" s="106"/>
      <c r="F79" s="105"/>
      <c r="G79" s="106"/>
      <c r="H79" s="106"/>
      <c r="I79" s="96" t="str">
        <f aca="false">IF(OR(G79="",H79=""),"",G79*H79)</f>
        <v/>
      </c>
      <c r="J79" s="99" t="str">
        <f aca="false">IF(I79="","",IF(I79&gt;=15,"Crítica",IF(I79&gt;=9,"Alta",IF(I79&gt;=4,"Média","Baixa"))))</f>
        <v/>
      </c>
      <c r="K79" s="105"/>
      <c r="L79" s="105"/>
      <c r="M79" s="106"/>
      <c r="N79" s="96" t="str">
        <f aca="false">IF(B79="","",COUNTIF('Geral - Soluções'!$C$5:$C$500,A79&amp;"*"))</f>
        <v/>
      </c>
      <c r="O79" s="107"/>
      <c r="P79" s="105"/>
      <c r="Q79" s="105"/>
      <c r="R79" s="100" t="str">
        <f aca="false">IF(B79="","",A79&amp;" · "&amp;B79)</f>
        <v/>
      </c>
    </row>
    <row r="80" customFormat="false" ht="15" hidden="false" customHeight="false" outlineLevel="0" collapsed="false">
      <c r="A80" s="101" t="s">
        <v>623</v>
      </c>
      <c r="B80" s="102"/>
      <c r="C80" s="102"/>
      <c r="D80" s="102"/>
      <c r="E80" s="103"/>
      <c r="F80" s="102"/>
      <c r="G80" s="103"/>
      <c r="H80" s="103"/>
      <c r="I80" s="96" t="str">
        <f aca="false">IF(OR(G80="",H80=""),"",G80*H80)</f>
        <v/>
      </c>
      <c r="J80" s="99" t="str">
        <f aca="false">IF(I80="","",IF(I80&gt;=15,"Crítica",IF(I80&gt;=9,"Alta",IF(I80&gt;=4,"Média","Baixa"))))</f>
        <v/>
      </c>
      <c r="K80" s="102"/>
      <c r="L80" s="102"/>
      <c r="M80" s="103"/>
      <c r="N80" s="96" t="str">
        <f aca="false">IF(B80="","",COUNTIF('Geral - Soluções'!$C$5:$C$500,A80&amp;"*"))</f>
        <v/>
      </c>
      <c r="O80" s="104"/>
      <c r="P80" s="102"/>
      <c r="Q80" s="102"/>
      <c r="R80" s="100" t="str">
        <f aca="false">IF(B80="","",A80&amp;" · "&amp;B80)</f>
        <v/>
      </c>
    </row>
    <row r="81" customFormat="false" ht="15" hidden="false" customHeight="false" outlineLevel="0" collapsed="false">
      <c r="A81" s="93" t="s">
        <v>624</v>
      </c>
      <c r="B81" s="105"/>
      <c r="C81" s="105"/>
      <c r="D81" s="105"/>
      <c r="E81" s="106"/>
      <c r="F81" s="105"/>
      <c r="G81" s="106"/>
      <c r="H81" s="106"/>
      <c r="I81" s="96" t="str">
        <f aca="false">IF(OR(G81="",H81=""),"",G81*H81)</f>
        <v/>
      </c>
      <c r="J81" s="99" t="str">
        <f aca="false">IF(I81="","",IF(I81&gt;=15,"Crítica",IF(I81&gt;=9,"Alta",IF(I81&gt;=4,"Média","Baixa"))))</f>
        <v/>
      </c>
      <c r="K81" s="105"/>
      <c r="L81" s="105"/>
      <c r="M81" s="106"/>
      <c r="N81" s="96" t="str">
        <f aca="false">IF(B81="","",COUNTIF('Geral - Soluções'!$C$5:$C$500,A81&amp;"*"))</f>
        <v/>
      </c>
      <c r="O81" s="107"/>
      <c r="P81" s="105"/>
      <c r="Q81" s="105"/>
      <c r="R81" s="100" t="str">
        <f aca="false">IF(B81="","",A81&amp;" · "&amp;B81)</f>
        <v/>
      </c>
    </row>
    <row r="82" customFormat="false" ht="15" hidden="false" customHeight="false" outlineLevel="0" collapsed="false">
      <c r="A82" s="101" t="s">
        <v>625</v>
      </c>
      <c r="B82" s="102"/>
      <c r="C82" s="102"/>
      <c r="D82" s="102"/>
      <c r="E82" s="103"/>
      <c r="F82" s="102"/>
      <c r="G82" s="103"/>
      <c r="H82" s="103"/>
      <c r="I82" s="96" t="str">
        <f aca="false">IF(OR(G82="",H82=""),"",G82*H82)</f>
        <v/>
      </c>
      <c r="J82" s="99" t="str">
        <f aca="false">IF(I82="","",IF(I82&gt;=15,"Crítica",IF(I82&gt;=9,"Alta",IF(I82&gt;=4,"Média","Baixa"))))</f>
        <v/>
      </c>
      <c r="K82" s="102"/>
      <c r="L82" s="102"/>
      <c r="M82" s="103"/>
      <c r="N82" s="96" t="str">
        <f aca="false">IF(B82="","",COUNTIF('Geral - Soluções'!$C$5:$C$500,A82&amp;"*"))</f>
        <v/>
      </c>
      <c r="O82" s="104"/>
      <c r="P82" s="102"/>
      <c r="Q82" s="102"/>
      <c r="R82" s="100" t="str">
        <f aca="false">IF(B82="","",A82&amp;" · "&amp;B82)</f>
        <v/>
      </c>
    </row>
    <row r="83" customFormat="false" ht="15" hidden="false" customHeight="false" outlineLevel="0" collapsed="false">
      <c r="A83" s="93" t="s">
        <v>626</v>
      </c>
      <c r="B83" s="105"/>
      <c r="C83" s="105"/>
      <c r="D83" s="105"/>
      <c r="E83" s="106"/>
      <c r="F83" s="105"/>
      <c r="G83" s="106"/>
      <c r="H83" s="106"/>
      <c r="I83" s="96" t="str">
        <f aca="false">IF(OR(G83="",H83=""),"",G83*H83)</f>
        <v/>
      </c>
      <c r="J83" s="99" t="str">
        <f aca="false">IF(I83="","",IF(I83&gt;=15,"Crítica",IF(I83&gt;=9,"Alta",IF(I83&gt;=4,"Média","Baixa"))))</f>
        <v/>
      </c>
      <c r="K83" s="105"/>
      <c r="L83" s="105"/>
      <c r="M83" s="106"/>
      <c r="N83" s="96" t="str">
        <f aca="false">IF(B83="","",COUNTIF('Geral - Soluções'!$C$5:$C$500,A83&amp;"*"))</f>
        <v/>
      </c>
      <c r="O83" s="107"/>
      <c r="P83" s="105"/>
      <c r="Q83" s="105"/>
      <c r="R83" s="100" t="str">
        <f aca="false">IF(B83="","",A83&amp;" · "&amp;B83)</f>
        <v/>
      </c>
    </row>
    <row r="84" customFormat="false" ht="15" hidden="false" customHeight="false" outlineLevel="0" collapsed="false">
      <c r="A84" s="101" t="s">
        <v>627</v>
      </c>
      <c r="B84" s="102"/>
      <c r="C84" s="102"/>
      <c r="D84" s="102"/>
      <c r="E84" s="103"/>
      <c r="F84" s="102"/>
      <c r="G84" s="103"/>
      <c r="H84" s="103"/>
      <c r="I84" s="96" t="str">
        <f aca="false">IF(OR(G84="",H84=""),"",G84*H84)</f>
        <v/>
      </c>
      <c r="J84" s="99" t="str">
        <f aca="false">IF(I84="","",IF(I84&gt;=15,"Crítica",IF(I84&gt;=9,"Alta",IF(I84&gt;=4,"Média","Baixa"))))</f>
        <v/>
      </c>
      <c r="K84" s="102"/>
      <c r="L84" s="102"/>
      <c r="M84" s="103"/>
      <c r="N84" s="96" t="str">
        <f aca="false">IF(B84="","",COUNTIF('Geral - Soluções'!$C$5:$C$500,A84&amp;"*"))</f>
        <v/>
      </c>
      <c r="O84" s="104"/>
      <c r="P84" s="102"/>
      <c r="Q84" s="102"/>
      <c r="R84" s="100" t="str">
        <f aca="false">IF(B84="","",A84&amp;" · "&amp;B84)</f>
        <v/>
      </c>
    </row>
    <row r="85" customFormat="false" ht="15" hidden="false" customHeight="false" outlineLevel="0" collapsed="false">
      <c r="A85" s="93" t="s">
        <v>628</v>
      </c>
      <c r="B85" s="105"/>
      <c r="C85" s="105"/>
      <c r="D85" s="105"/>
      <c r="E85" s="106"/>
      <c r="F85" s="105"/>
      <c r="G85" s="106"/>
      <c r="H85" s="106"/>
      <c r="I85" s="96" t="str">
        <f aca="false">IF(OR(G85="",H85=""),"",G85*H85)</f>
        <v/>
      </c>
      <c r="J85" s="99" t="str">
        <f aca="false">IF(I85="","",IF(I85&gt;=15,"Crítica",IF(I85&gt;=9,"Alta",IF(I85&gt;=4,"Média","Baixa"))))</f>
        <v/>
      </c>
      <c r="K85" s="105"/>
      <c r="L85" s="105"/>
      <c r="M85" s="106"/>
      <c r="N85" s="96" t="str">
        <f aca="false">IF(B85="","",COUNTIF('Geral - Soluções'!$C$5:$C$500,A85&amp;"*"))</f>
        <v/>
      </c>
      <c r="O85" s="107"/>
      <c r="P85" s="105"/>
      <c r="Q85" s="105"/>
      <c r="R85" s="100" t="str">
        <f aca="false">IF(B85="","",A85&amp;" · "&amp;B85)</f>
        <v/>
      </c>
    </row>
    <row r="86" customFormat="false" ht="15" hidden="false" customHeight="false" outlineLevel="0" collapsed="false">
      <c r="A86" s="101" t="s">
        <v>629</v>
      </c>
      <c r="B86" s="102"/>
      <c r="C86" s="102"/>
      <c r="D86" s="102"/>
      <c r="E86" s="103"/>
      <c r="F86" s="102"/>
      <c r="G86" s="103"/>
      <c r="H86" s="103"/>
      <c r="I86" s="96" t="str">
        <f aca="false">IF(OR(G86="",H86=""),"",G86*H86)</f>
        <v/>
      </c>
      <c r="J86" s="99" t="str">
        <f aca="false">IF(I86="","",IF(I86&gt;=15,"Crítica",IF(I86&gt;=9,"Alta",IF(I86&gt;=4,"Média","Baixa"))))</f>
        <v/>
      </c>
      <c r="K86" s="102"/>
      <c r="L86" s="102"/>
      <c r="M86" s="103"/>
      <c r="N86" s="96" t="str">
        <f aca="false">IF(B86="","",COUNTIF('Geral - Soluções'!$C$5:$C$500,A86&amp;"*"))</f>
        <v/>
      </c>
      <c r="O86" s="104"/>
      <c r="P86" s="102"/>
      <c r="Q86" s="102"/>
      <c r="R86" s="100" t="str">
        <f aca="false">IF(B86="","",A86&amp;" · "&amp;B86)</f>
        <v/>
      </c>
    </row>
    <row r="87" customFormat="false" ht="15" hidden="false" customHeight="false" outlineLevel="0" collapsed="false">
      <c r="A87" s="93" t="s">
        <v>630</v>
      </c>
      <c r="B87" s="105"/>
      <c r="C87" s="105"/>
      <c r="D87" s="105"/>
      <c r="E87" s="106"/>
      <c r="F87" s="105"/>
      <c r="G87" s="106"/>
      <c r="H87" s="106"/>
      <c r="I87" s="96" t="str">
        <f aca="false">IF(OR(G87="",H87=""),"",G87*H87)</f>
        <v/>
      </c>
      <c r="J87" s="99" t="str">
        <f aca="false">IF(I87="","",IF(I87&gt;=15,"Crítica",IF(I87&gt;=9,"Alta",IF(I87&gt;=4,"Média","Baixa"))))</f>
        <v/>
      </c>
      <c r="K87" s="105"/>
      <c r="L87" s="105"/>
      <c r="M87" s="106"/>
      <c r="N87" s="96" t="str">
        <f aca="false">IF(B87="","",COUNTIF('Geral - Soluções'!$C$5:$C$500,A87&amp;"*"))</f>
        <v/>
      </c>
      <c r="O87" s="107"/>
      <c r="P87" s="105"/>
      <c r="Q87" s="105"/>
      <c r="R87" s="100" t="str">
        <f aca="false">IF(B87="","",A87&amp;" · "&amp;B87)</f>
        <v/>
      </c>
    </row>
    <row r="88" customFormat="false" ht="15" hidden="false" customHeight="false" outlineLevel="0" collapsed="false">
      <c r="A88" s="101" t="s">
        <v>631</v>
      </c>
      <c r="B88" s="102"/>
      <c r="C88" s="102"/>
      <c r="D88" s="102"/>
      <c r="E88" s="103"/>
      <c r="F88" s="102"/>
      <c r="G88" s="103"/>
      <c r="H88" s="103"/>
      <c r="I88" s="96" t="str">
        <f aca="false">IF(OR(G88="",H88=""),"",G88*H88)</f>
        <v/>
      </c>
      <c r="J88" s="99" t="str">
        <f aca="false">IF(I88="","",IF(I88&gt;=15,"Crítica",IF(I88&gt;=9,"Alta",IF(I88&gt;=4,"Média","Baixa"))))</f>
        <v/>
      </c>
      <c r="K88" s="102"/>
      <c r="L88" s="102"/>
      <c r="M88" s="103"/>
      <c r="N88" s="96" t="str">
        <f aca="false">IF(B88="","",COUNTIF('Geral - Soluções'!$C$5:$C$500,A88&amp;"*"))</f>
        <v/>
      </c>
      <c r="O88" s="104"/>
      <c r="P88" s="102"/>
      <c r="Q88" s="102"/>
      <c r="R88" s="100" t="str">
        <f aca="false">IF(B88="","",A88&amp;" · "&amp;B88)</f>
        <v/>
      </c>
    </row>
    <row r="89" customFormat="false" ht="15" hidden="false" customHeight="false" outlineLevel="0" collapsed="false">
      <c r="A89" s="93" t="s">
        <v>632</v>
      </c>
      <c r="B89" s="105"/>
      <c r="C89" s="105"/>
      <c r="D89" s="105"/>
      <c r="E89" s="106"/>
      <c r="F89" s="105"/>
      <c r="G89" s="106"/>
      <c r="H89" s="106"/>
      <c r="I89" s="96" t="str">
        <f aca="false">IF(OR(G89="",H89=""),"",G89*H89)</f>
        <v/>
      </c>
      <c r="J89" s="99" t="str">
        <f aca="false">IF(I89="","",IF(I89&gt;=15,"Crítica",IF(I89&gt;=9,"Alta",IF(I89&gt;=4,"Média","Baixa"))))</f>
        <v/>
      </c>
      <c r="K89" s="105"/>
      <c r="L89" s="105"/>
      <c r="M89" s="106"/>
      <c r="N89" s="96" t="str">
        <f aca="false">IF(B89="","",COUNTIF('Geral - Soluções'!$C$5:$C$500,A89&amp;"*"))</f>
        <v/>
      </c>
      <c r="O89" s="107"/>
      <c r="P89" s="105"/>
      <c r="Q89" s="105"/>
      <c r="R89" s="100" t="str">
        <f aca="false">IF(B89="","",A89&amp;" · "&amp;B89)</f>
        <v/>
      </c>
    </row>
    <row r="90" customFormat="false" ht="15" hidden="false" customHeight="false" outlineLevel="0" collapsed="false">
      <c r="A90" s="101" t="s">
        <v>633</v>
      </c>
      <c r="B90" s="102"/>
      <c r="C90" s="102"/>
      <c r="D90" s="102"/>
      <c r="E90" s="103"/>
      <c r="F90" s="102"/>
      <c r="G90" s="103"/>
      <c r="H90" s="103"/>
      <c r="I90" s="96" t="str">
        <f aca="false">IF(OR(G90="",H90=""),"",G90*H90)</f>
        <v/>
      </c>
      <c r="J90" s="99" t="str">
        <f aca="false">IF(I90="","",IF(I90&gt;=15,"Crítica",IF(I90&gt;=9,"Alta",IF(I90&gt;=4,"Média","Baixa"))))</f>
        <v/>
      </c>
      <c r="K90" s="102"/>
      <c r="L90" s="102"/>
      <c r="M90" s="103"/>
      <c r="N90" s="96" t="str">
        <f aca="false">IF(B90="","",COUNTIF('Geral - Soluções'!$C$5:$C$500,A90&amp;"*"))</f>
        <v/>
      </c>
      <c r="O90" s="104"/>
      <c r="P90" s="102"/>
      <c r="Q90" s="102"/>
      <c r="R90" s="100" t="str">
        <f aca="false">IF(B90="","",A90&amp;" · "&amp;B90)</f>
        <v/>
      </c>
    </row>
    <row r="91" customFormat="false" ht="15" hidden="false" customHeight="false" outlineLevel="0" collapsed="false">
      <c r="A91" s="93" t="s">
        <v>634</v>
      </c>
      <c r="B91" s="105"/>
      <c r="C91" s="105"/>
      <c r="D91" s="105"/>
      <c r="E91" s="106"/>
      <c r="F91" s="105"/>
      <c r="G91" s="106"/>
      <c r="H91" s="106"/>
      <c r="I91" s="96" t="str">
        <f aca="false">IF(OR(G91="",H91=""),"",G91*H91)</f>
        <v/>
      </c>
      <c r="J91" s="99" t="str">
        <f aca="false">IF(I91="","",IF(I91&gt;=15,"Crítica",IF(I91&gt;=9,"Alta",IF(I91&gt;=4,"Média","Baixa"))))</f>
        <v/>
      </c>
      <c r="K91" s="105"/>
      <c r="L91" s="105"/>
      <c r="M91" s="106"/>
      <c r="N91" s="96" t="str">
        <f aca="false">IF(B91="","",COUNTIF('Geral - Soluções'!$C$5:$C$500,A91&amp;"*"))</f>
        <v/>
      </c>
      <c r="O91" s="107"/>
      <c r="P91" s="105"/>
      <c r="Q91" s="105"/>
      <c r="R91" s="100" t="str">
        <f aca="false">IF(B91="","",A91&amp;" · "&amp;B91)</f>
        <v/>
      </c>
    </row>
    <row r="92" customFormat="false" ht="15" hidden="false" customHeight="false" outlineLevel="0" collapsed="false">
      <c r="A92" s="101" t="s">
        <v>635</v>
      </c>
      <c r="B92" s="102"/>
      <c r="C92" s="102"/>
      <c r="D92" s="102"/>
      <c r="E92" s="103"/>
      <c r="F92" s="102"/>
      <c r="G92" s="103"/>
      <c r="H92" s="103"/>
      <c r="I92" s="96" t="str">
        <f aca="false">IF(OR(G92="",H92=""),"",G92*H92)</f>
        <v/>
      </c>
      <c r="J92" s="99" t="str">
        <f aca="false">IF(I92="","",IF(I92&gt;=15,"Crítica",IF(I92&gt;=9,"Alta",IF(I92&gt;=4,"Média","Baixa"))))</f>
        <v/>
      </c>
      <c r="K92" s="102"/>
      <c r="L92" s="102"/>
      <c r="M92" s="103"/>
      <c r="N92" s="96" t="str">
        <f aca="false">IF(B92="","",COUNTIF('Geral - Soluções'!$C$5:$C$500,A92&amp;"*"))</f>
        <v/>
      </c>
      <c r="O92" s="104"/>
      <c r="P92" s="102"/>
      <c r="Q92" s="102"/>
      <c r="R92" s="100" t="str">
        <f aca="false">IF(B92="","",A92&amp;" · "&amp;B92)</f>
        <v/>
      </c>
    </row>
    <row r="93" customFormat="false" ht="15" hidden="false" customHeight="false" outlineLevel="0" collapsed="false">
      <c r="A93" s="93" t="s">
        <v>636</v>
      </c>
      <c r="B93" s="105"/>
      <c r="C93" s="105"/>
      <c r="D93" s="105"/>
      <c r="E93" s="106"/>
      <c r="F93" s="105"/>
      <c r="G93" s="106"/>
      <c r="H93" s="106"/>
      <c r="I93" s="96" t="str">
        <f aca="false">IF(OR(G93="",H93=""),"",G93*H93)</f>
        <v/>
      </c>
      <c r="J93" s="99" t="str">
        <f aca="false">IF(I93="","",IF(I93&gt;=15,"Crítica",IF(I93&gt;=9,"Alta",IF(I93&gt;=4,"Média","Baixa"))))</f>
        <v/>
      </c>
      <c r="K93" s="105"/>
      <c r="L93" s="105"/>
      <c r="M93" s="106"/>
      <c r="N93" s="96" t="str">
        <f aca="false">IF(B93="","",COUNTIF('Geral - Soluções'!$C$5:$C$500,A93&amp;"*"))</f>
        <v/>
      </c>
      <c r="O93" s="107"/>
      <c r="P93" s="105"/>
      <c r="Q93" s="105"/>
      <c r="R93" s="100" t="str">
        <f aca="false">IF(B93="","",A93&amp;" · "&amp;B93)</f>
        <v/>
      </c>
    </row>
    <row r="94" customFormat="false" ht="15" hidden="false" customHeight="false" outlineLevel="0" collapsed="false">
      <c r="A94" s="101" t="s">
        <v>637</v>
      </c>
      <c r="B94" s="102"/>
      <c r="C94" s="102"/>
      <c r="D94" s="102"/>
      <c r="E94" s="103"/>
      <c r="F94" s="102"/>
      <c r="G94" s="103"/>
      <c r="H94" s="103"/>
      <c r="I94" s="96" t="str">
        <f aca="false">IF(OR(G94="",H94=""),"",G94*H94)</f>
        <v/>
      </c>
      <c r="J94" s="99" t="str">
        <f aca="false">IF(I94="","",IF(I94&gt;=15,"Crítica",IF(I94&gt;=9,"Alta",IF(I94&gt;=4,"Média","Baixa"))))</f>
        <v/>
      </c>
      <c r="K94" s="102"/>
      <c r="L94" s="102"/>
      <c r="M94" s="103"/>
      <c r="N94" s="96" t="str">
        <f aca="false">IF(B94="","",COUNTIF('Geral - Soluções'!$C$5:$C$500,A94&amp;"*"))</f>
        <v/>
      </c>
      <c r="O94" s="104"/>
      <c r="P94" s="102"/>
      <c r="Q94" s="102"/>
      <c r="R94" s="100" t="str">
        <f aca="false">IF(B94="","",A94&amp;" · "&amp;B94)</f>
        <v/>
      </c>
    </row>
    <row r="95" customFormat="false" ht="15" hidden="false" customHeight="false" outlineLevel="0" collapsed="false">
      <c r="A95" s="93" t="s">
        <v>638</v>
      </c>
      <c r="B95" s="105"/>
      <c r="C95" s="105"/>
      <c r="D95" s="105"/>
      <c r="E95" s="106"/>
      <c r="F95" s="105"/>
      <c r="G95" s="106"/>
      <c r="H95" s="106"/>
      <c r="I95" s="96" t="str">
        <f aca="false">IF(OR(G95="",H95=""),"",G95*H95)</f>
        <v/>
      </c>
      <c r="J95" s="99" t="str">
        <f aca="false">IF(I95="","",IF(I95&gt;=15,"Crítica",IF(I95&gt;=9,"Alta",IF(I95&gt;=4,"Média","Baixa"))))</f>
        <v/>
      </c>
      <c r="K95" s="105"/>
      <c r="L95" s="105"/>
      <c r="M95" s="106"/>
      <c r="N95" s="96" t="str">
        <f aca="false">IF(B95="","",COUNTIF('Geral - Soluções'!$C$5:$C$500,A95&amp;"*"))</f>
        <v/>
      </c>
      <c r="O95" s="107"/>
      <c r="P95" s="105"/>
      <c r="Q95" s="105"/>
      <c r="R95" s="100" t="str">
        <f aca="false">IF(B95="","",A95&amp;" · "&amp;B95)</f>
        <v/>
      </c>
    </row>
    <row r="96" customFormat="false" ht="15" hidden="false" customHeight="false" outlineLevel="0" collapsed="false">
      <c r="A96" s="101" t="s">
        <v>639</v>
      </c>
      <c r="B96" s="102"/>
      <c r="C96" s="102"/>
      <c r="D96" s="102"/>
      <c r="E96" s="103"/>
      <c r="F96" s="102"/>
      <c r="G96" s="103"/>
      <c r="H96" s="103"/>
      <c r="I96" s="96" t="str">
        <f aca="false">IF(OR(G96="",H96=""),"",G96*H96)</f>
        <v/>
      </c>
      <c r="J96" s="99" t="str">
        <f aca="false">IF(I96="","",IF(I96&gt;=15,"Crítica",IF(I96&gt;=9,"Alta",IF(I96&gt;=4,"Média","Baixa"))))</f>
        <v/>
      </c>
      <c r="K96" s="102"/>
      <c r="L96" s="102"/>
      <c r="M96" s="103"/>
      <c r="N96" s="96" t="str">
        <f aca="false">IF(B96="","",COUNTIF('Geral - Soluções'!$C$5:$C$500,A96&amp;"*"))</f>
        <v/>
      </c>
      <c r="O96" s="104"/>
      <c r="P96" s="102"/>
      <c r="Q96" s="102"/>
      <c r="R96" s="100" t="str">
        <f aca="false">IF(B96="","",A96&amp;" · "&amp;B96)</f>
        <v/>
      </c>
    </row>
    <row r="97" customFormat="false" ht="15" hidden="false" customHeight="false" outlineLevel="0" collapsed="false">
      <c r="A97" s="93" t="s">
        <v>640</v>
      </c>
      <c r="B97" s="105"/>
      <c r="C97" s="105"/>
      <c r="D97" s="105"/>
      <c r="E97" s="106"/>
      <c r="F97" s="105"/>
      <c r="G97" s="106"/>
      <c r="H97" s="106"/>
      <c r="I97" s="96" t="str">
        <f aca="false">IF(OR(G97="",H97=""),"",G97*H97)</f>
        <v/>
      </c>
      <c r="J97" s="99" t="str">
        <f aca="false">IF(I97="","",IF(I97&gt;=15,"Crítica",IF(I97&gt;=9,"Alta",IF(I97&gt;=4,"Média","Baixa"))))</f>
        <v/>
      </c>
      <c r="K97" s="105"/>
      <c r="L97" s="105"/>
      <c r="M97" s="106"/>
      <c r="N97" s="96" t="str">
        <f aca="false">IF(B97="","",COUNTIF('Geral - Soluções'!$C$5:$C$500,A97&amp;"*"))</f>
        <v/>
      </c>
      <c r="O97" s="107"/>
      <c r="P97" s="105"/>
      <c r="Q97" s="105"/>
      <c r="R97" s="100" t="str">
        <f aca="false">IF(B97="","",A97&amp;" · "&amp;B97)</f>
        <v/>
      </c>
    </row>
    <row r="98" customFormat="false" ht="15" hidden="false" customHeight="false" outlineLevel="0" collapsed="false">
      <c r="A98" s="101" t="s">
        <v>641</v>
      </c>
      <c r="B98" s="102"/>
      <c r="C98" s="102"/>
      <c r="D98" s="102"/>
      <c r="E98" s="103"/>
      <c r="F98" s="102"/>
      <c r="G98" s="103"/>
      <c r="H98" s="103"/>
      <c r="I98" s="96" t="str">
        <f aca="false">IF(OR(G98="",H98=""),"",G98*H98)</f>
        <v/>
      </c>
      <c r="J98" s="99" t="str">
        <f aca="false">IF(I98="","",IF(I98&gt;=15,"Crítica",IF(I98&gt;=9,"Alta",IF(I98&gt;=4,"Média","Baixa"))))</f>
        <v/>
      </c>
      <c r="K98" s="102"/>
      <c r="L98" s="102"/>
      <c r="M98" s="103"/>
      <c r="N98" s="96" t="str">
        <f aca="false">IF(B98="","",COUNTIF('Geral - Soluções'!$C$5:$C$500,A98&amp;"*"))</f>
        <v/>
      </c>
      <c r="O98" s="104"/>
      <c r="P98" s="102"/>
      <c r="Q98" s="102"/>
      <c r="R98" s="100" t="str">
        <f aca="false">IF(B98="","",A98&amp;" · "&amp;B98)</f>
        <v/>
      </c>
    </row>
    <row r="99" customFormat="false" ht="15" hidden="false" customHeight="false" outlineLevel="0" collapsed="false">
      <c r="A99" s="93" t="s">
        <v>642</v>
      </c>
      <c r="B99" s="105"/>
      <c r="C99" s="105"/>
      <c r="D99" s="105"/>
      <c r="E99" s="106"/>
      <c r="F99" s="105"/>
      <c r="G99" s="106"/>
      <c r="H99" s="106"/>
      <c r="I99" s="96" t="str">
        <f aca="false">IF(OR(G99="",H99=""),"",G99*H99)</f>
        <v/>
      </c>
      <c r="J99" s="99" t="str">
        <f aca="false">IF(I99="","",IF(I99&gt;=15,"Crítica",IF(I99&gt;=9,"Alta",IF(I99&gt;=4,"Média","Baixa"))))</f>
        <v/>
      </c>
      <c r="K99" s="105"/>
      <c r="L99" s="105"/>
      <c r="M99" s="106"/>
      <c r="N99" s="96" t="str">
        <f aca="false">IF(B99="","",COUNTIF('Geral - Soluções'!$C$5:$C$500,A99&amp;"*"))</f>
        <v/>
      </c>
      <c r="O99" s="107"/>
      <c r="P99" s="105"/>
      <c r="Q99" s="105"/>
      <c r="R99" s="100" t="str">
        <f aca="false">IF(B99="","",A99&amp;" · "&amp;B99)</f>
        <v/>
      </c>
    </row>
    <row r="100" customFormat="false" ht="15" hidden="false" customHeight="false" outlineLevel="0" collapsed="false">
      <c r="A100" s="101" t="s">
        <v>643</v>
      </c>
      <c r="B100" s="102"/>
      <c r="C100" s="102"/>
      <c r="D100" s="102"/>
      <c r="E100" s="103"/>
      <c r="F100" s="102"/>
      <c r="G100" s="103"/>
      <c r="H100" s="103"/>
      <c r="I100" s="96" t="str">
        <f aca="false">IF(OR(G100="",H100=""),"",G100*H100)</f>
        <v/>
      </c>
      <c r="J100" s="99" t="str">
        <f aca="false">IF(I100="","",IF(I100&gt;=15,"Crítica",IF(I100&gt;=9,"Alta",IF(I100&gt;=4,"Média","Baixa"))))</f>
        <v/>
      </c>
      <c r="K100" s="102"/>
      <c r="L100" s="102"/>
      <c r="M100" s="103"/>
      <c r="N100" s="96" t="str">
        <f aca="false">IF(B100="","",COUNTIF('Geral - Soluções'!$C$5:$C$500,A100&amp;"*"))</f>
        <v/>
      </c>
      <c r="O100" s="104"/>
      <c r="P100" s="102"/>
      <c r="Q100" s="102"/>
      <c r="R100" s="100" t="str">
        <f aca="false">IF(B100="","",A100&amp;" · "&amp;B100)</f>
        <v/>
      </c>
    </row>
    <row r="101" customFormat="false" ht="15" hidden="false" customHeight="false" outlineLevel="0" collapsed="false">
      <c r="A101" s="93" t="s">
        <v>644</v>
      </c>
      <c r="B101" s="105"/>
      <c r="C101" s="105"/>
      <c r="D101" s="105"/>
      <c r="E101" s="106"/>
      <c r="F101" s="105"/>
      <c r="G101" s="106"/>
      <c r="H101" s="106"/>
      <c r="I101" s="96" t="str">
        <f aca="false">IF(OR(G101="",H101=""),"",G101*H101)</f>
        <v/>
      </c>
      <c r="J101" s="99" t="str">
        <f aca="false">IF(I101="","",IF(I101&gt;=15,"Crítica",IF(I101&gt;=9,"Alta",IF(I101&gt;=4,"Média","Baixa"))))</f>
        <v/>
      </c>
      <c r="K101" s="105"/>
      <c r="L101" s="105"/>
      <c r="M101" s="106"/>
      <c r="N101" s="96" t="str">
        <f aca="false">IF(B101="","",COUNTIF('Geral - Soluções'!$C$5:$C$500,A101&amp;"*"))</f>
        <v/>
      </c>
      <c r="O101" s="107"/>
      <c r="P101" s="105"/>
      <c r="Q101" s="105"/>
      <c r="R101" s="100" t="str">
        <f aca="false">IF(B101="","",A101&amp;" · "&amp;B101)</f>
        <v/>
      </c>
    </row>
    <row r="102" customFormat="false" ht="15" hidden="false" customHeight="false" outlineLevel="0" collapsed="false">
      <c r="A102" s="101" t="s">
        <v>645</v>
      </c>
      <c r="B102" s="102"/>
      <c r="C102" s="102"/>
      <c r="D102" s="102"/>
      <c r="E102" s="103"/>
      <c r="F102" s="102"/>
      <c r="G102" s="103"/>
      <c r="H102" s="103"/>
      <c r="I102" s="96" t="str">
        <f aca="false">IF(OR(G102="",H102=""),"",G102*H102)</f>
        <v/>
      </c>
      <c r="J102" s="99" t="str">
        <f aca="false">IF(I102="","",IF(I102&gt;=15,"Crítica",IF(I102&gt;=9,"Alta",IF(I102&gt;=4,"Média","Baixa"))))</f>
        <v/>
      </c>
      <c r="K102" s="102"/>
      <c r="L102" s="102"/>
      <c r="M102" s="103"/>
      <c r="N102" s="96" t="str">
        <f aca="false">IF(B102="","",COUNTIF('Geral - Soluções'!$C$5:$C$500,A102&amp;"*"))</f>
        <v/>
      </c>
      <c r="O102" s="104"/>
      <c r="P102" s="102"/>
      <c r="Q102" s="102"/>
      <c r="R102" s="100" t="str">
        <f aca="false">IF(B102="","",A102&amp;" · "&amp;B102)</f>
        <v/>
      </c>
    </row>
    <row r="103" customFormat="false" ht="15" hidden="false" customHeight="false" outlineLevel="0" collapsed="false">
      <c r="A103" s="93" t="s">
        <v>646</v>
      </c>
      <c r="B103" s="105"/>
      <c r="C103" s="105"/>
      <c r="D103" s="105"/>
      <c r="E103" s="106"/>
      <c r="F103" s="105"/>
      <c r="G103" s="106"/>
      <c r="H103" s="106"/>
      <c r="I103" s="96" t="str">
        <f aca="false">IF(OR(G103="",H103=""),"",G103*H103)</f>
        <v/>
      </c>
      <c r="J103" s="99" t="str">
        <f aca="false">IF(I103="","",IF(I103&gt;=15,"Crítica",IF(I103&gt;=9,"Alta",IF(I103&gt;=4,"Média","Baixa"))))</f>
        <v/>
      </c>
      <c r="K103" s="105"/>
      <c r="L103" s="105"/>
      <c r="M103" s="106"/>
      <c r="N103" s="96" t="str">
        <f aca="false">IF(B103="","",COUNTIF('Geral - Soluções'!$C$5:$C$500,A103&amp;"*"))</f>
        <v/>
      </c>
      <c r="O103" s="107"/>
      <c r="P103" s="105"/>
      <c r="Q103" s="105"/>
      <c r="R103" s="100" t="str">
        <f aca="false">IF(B103="","",A103&amp;" · "&amp;B103)</f>
        <v/>
      </c>
    </row>
    <row r="104" customFormat="false" ht="15" hidden="false" customHeight="false" outlineLevel="0" collapsed="false">
      <c r="A104" s="101" t="s">
        <v>647</v>
      </c>
      <c r="B104" s="102"/>
      <c r="C104" s="102"/>
      <c r="D104" s="102"/>
      <c r="E104" s="103"/>
      <c r="F104" s="102"/>
      <c r="G104" s="103"/>
      <c r="H104" s="103"/>
      <c r="I104" s="96" t="str">
        <f aca="false">IF(OR(G104="",H104=""),"",G104*H104)</f>
        <v/>
      </c>
      <c r="J104" s="99" t="str">
        <f aca="false">IF(I104="","",IF(I104&gt;=15,"Crítica",IF(I104&gt;=9,"Alta",IF(I104&gt;=4,"Média","Baixa"))))</f>
        <v/>
      </c>
      <c r="K104" s="102"/>
      <c r="L104" s="102"/>
      <c r="M104" s="103"/>
      <c r="N104" s="96" t="str">
        <f aca="false">IF(B104="","",COUNTIF('Geral - Soluções'!$C$5:$C$500,A104&amp;"*"))</f>
        <v/>
      </c>
      <c r="O104" s="104"/>
      <c r="P104" s="102"/>
      <c r="Q104" s="102"/>
      <c r="R104" s="100" t="str">
        <f aca="false">IF(B104="","",A104&amp;" · "&amp;B104)</f>
        <v/>
      </c>
    </row>
  </sheetData>
  <autoFilter ref="A4:R104"/>
  <mergeCells count="4">
    <mergeCell ref="A3:F3"/>
    <mergeCell ref="G3:J3"/>
    <mergeCell ref="K3:N3"/>
    <mergeCell ref="O3:R3"/>
  </mergeCells>
  <conditionalFormatting sqref="A5:A500">
    <cfRule type="expression" priority="2" aboveAverage="0" equalAverage="0" bottom="0" percent="0" rank="0" text="" dxfId="13">
      <formula>$B5&lt;&gt;""</formula>
    </cfRule>
  </conditionalFormatting>
  <conditionalFormatting sqref="J5:J500">
    <cfRule type="expression" priority="3" aboveAverage="0" equalAverage="0" bottom="0" percent="0" rank="0" text="" dxfId="20">
      <formula>$J5="Crítica"</formula>
    </cfRule>
    <cfRule type="expression" priority="4" aboveAverage="0" equalAverage="0" bottom="0" percent="0" rank="0" text="" dxfId="27">
      <formula>$J5="Alta"</formula>
    </cfRule>
    <cfRule type="expression" priority="5" aboveAverage="0" equalAverage="0" bottom="0" percent="0" rank="0" text="" dxfId="28">
      <formula>$J5="Média"</formula>
    </cfRule>
    <cfRule type="expression" priority="6" aboveAverage="0" equalAverage="0" bottom="0" percent="0" rank="0" text="" dxfId="29">
      <formula>$J5="Baixa"</formula>
    </cfRule>
  </conditionalFormatting>
  <conditionalFormatting sqref="E5:E500">
    <cfRule type="expression" priority="7" aboveAverage="0" equalAverage="0" bottom="0" percent="0" rank="0" text="" dxfId="30">
      <formula>$E5="Ocorrendo hoje"</formula>
    </cfRule>
    <cfRule type="expression" priority="8" aboveAverage="0" equalAverage="0" bottom="0" percent="0" rank="0" text="" dxfId="31">
      <formula>$E5="Risco potencial"</formula>
    </cfRule>
  </conditionalFormatting>
  <conditionalFormatting sqref="M5:M500">
    <cfRule type="expression" priority="9" aboveAverage="0" equalAverage="0" bottom="0" percent="0" rank="0" text="" dxfId="14">
      <formula>$M5="Resolvido"</formula>
    </cfRule>
    <cfRule type="expression" priority="10" aboveAverage="0" equalAverage="0" bottom="0" percent="0" rank="0" text="" dxfId="15">
      <formula>$M5="Solução em teste"</formula>
    </cfRule>
    <cfRule type="expression" priority="11" aboveAverage="0" equalAverage="0" bottom="0" percent="0" rank="0" text="" dxfId="17">
      <formula>$M5="Buscando solução"</formula>
    </cfRule>
    <cfRule type="expression" priority="12" aboveAverage="0" equalAverage="0" bottom="0" percent="0" rank="0" text="" dxfId="18">
      <formula>$M5="Arquivado"</formula>
    </cfRule>
  </conditionalFormatting>
  <conditionalFormatting sqref="N5:N500">
    <cfRule type="expression" priority="13" aboveAverage="0" equalAverage="0" bottom="0" percent="0" rank="0" text="" dxfId="32">
      <formula>AND($B5&lt;&gt;"",$N5=0)</formula>
    </cfRule>
  </conditionalFormatting>
  <dataValidations count="7">
    <dataValidation allowBlank="true" error="Digite uma data válida no formato dd/mm/aaaa." errorStyle="stop" errorTitle="Data inválida" operator="greaterThan" showDropDown="false" showErrorMessage="true" showInputMessage="false" sqref="O5:O500" type="date">
      <formula1>36526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D5:D500" type="list">
      <formula1>lst_Categoria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lst_SitProblema</formula1>
      <formula2>0</formula2>
    </dataValidation>
    <dataValidation allowBlank="true" error="Escolha uma opção da lista. As opções podem ser editadas na aba Listas." errorStyle="stop" errorTitle="Valor fora da lista" operator="between" prompt="1 = muito baixo · 3 = médio · 5 = muito alto (afeta o resultado do projeto/CEMP)." promptTitle="Impacto" showDropDown="false" showErrorMessage="true" showInputMessage="true" sqref="G5:G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prompt="1 = raro · 3 = acontece às vezes · 5 = acontece sempre / quase certo." promptTitle="Probabilidade" showDropDown="false" showErrorMessage="true" showInputMessage="true" sqref="H5:H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lst_Diretoria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M5:M500" type="list">
      <formula1>lst_StatusProblema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7C20"/>
    <pageSetUpPr fitToPage="true"/>
  </sheetPr>
  <dimension ref="A1:U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19"/>
    <col collapsed="false" customWidth="true" hidden="false" outlineLevel="0" max="7" min="7" style="0" width="17"/>
    <col collapsed="false" customWidth="true" hidden="false" outlineLevel="0" max="8" min="8" style="0" width="56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17"/>
    <col collapsed="false" customWidth="true" hidden="false" outlineLevel="0" max="14" min="14" style="0" width="40"/>
    <col collapsed="false" customWidth="true" hidden="false" outlineLevel="0" max="15" min="15" style="0" width="28"/>
    <col collapsed="false" customWidth="true" hidden="false" outlineLevel="0" max="16" min="16" style="0" width="16"/>
    <col collapsed="false" customWidth="true" hidden="false" outlineLevel="0" max="17" min="17" style="0" width="17"/>
    <col collapsed="false" customWidth="true" hidden="false" outlineLevel="0" max="18" min="18" style="0" width="12"/>
    <col collapsed="false" customWidth="true" hidden="false" outlineLevel="0" max="19" min="19" style="0" width="34"/>
    <col collapsed="false" customWidth="true" hidden="false" outlineLevel="0" max="20" min="20" style="0" width="12"/>
    <col collapsed="false" customWidth="true" hidden="false" outlineLevel="0" max="21" min="21" style="0" width="16"/>
  </cols>
  <sheetData>
    <row r="1" customFormat="false" ht="31.5" hidden="false" customHeight="true" outlineLevel="0" collapsed="false">
      <c r="A1" s="83" t="s">
        <v>648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9.5" hidden="false" customHeight="true" outlineLevel="0" collapsed="false">
      <c r="A2" s="108" t="s">
        <v>70</v>
      </c>
      <c r="B2" s="109" t="str">
        <f aca="false">"Soluções encontradas em outros projetos/empresas para: Geral (CEMP inteiro)   ·   "&amp;COUNTA(B5:B500)&amp;" registro(s)"</f>
        <v>Soluções encontradas em outros projetos/empresas para: Geral (CEMP inteiro)   ·   1 registro(s)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</row>
    <row r="3" customFormat="false" ht="16.5" hidden="false" customHeight="true" outlineLevel="0" collapsed="false">
      <c r="A3" s="87" t="s">
        <v>649</v>
      </c>
      <c r="B3" s="87"/>
      <c r="C3" s="87"/>
      <c r="D3" s="87"/>
      <c r="E3" s="88" t="s">
        <v>650</v>
      </c>
      <c r="F3" s="88"/>
      <c r="G3" s="88"/>
      <c r="H3" s="89" t="s">
        <v>651</v>
      </c>
      <c r="I3" s="89"/>
      <c r="J3" s="89"/>
      <c r="K3" s="90" t="s">
        <v>652</v>
      </c>
      <c r="L3" s="90"/>
      <c r="M3" s="90"/>
      <c r="N3" s="113" t="s">
        <v>653</v>
      </c>
      <c r="O3" s="113"/>
      <c r="P3" s="114" t="s">
        <v>654</v>
      </c>
      <c r="Q3" s="114"/>
      <c r="R3" s="114"/>
      <c r="S3" s="115" t="s">
        <v>523</v>
      </c>
      <c r="T3" s="115"/>
      <c r="U3" s="115"/>
    </row>
    <row r="4" customFormat="false" ht="42" hidden="false" customHeight="true" outlineLevel="0" collapsed="false">
      <c r="A4" s="111" t="s">
        <v>118</v>
      </c>
      <c r="B4" s="111" t="s">
        <v>655</v>
      </c>
      <c r="C4" s="111" t="s">
        <v>656</v>
      </c>
      <c r="D4" s="111" t="s">
        <v>657</v>
      </c>
      <c r="E4" s="111" t="s">
        <v>658</v>
      </c>
      <c r="F4" s="112" t="s">
        <v>659</v>
      </c>
      <c r="G4" s="111" t="s">
        <v>660</v>
      </c>
      <c r="H4" s="111" t="s">
        <v>661</v>
      </c>
      <c r="I4" s="111" t="s">
        <v>662</v>
      </c>
      <c r="J4" s="111" t="s">
        <v>663</v>
      </c>
      <c r="K4" s="111" t="s">
        <v>664</v>
      </c>
      <c r="L4" s="111" t="s">
        <v>665</v>
      </c>
      <c r="M4" s="112" t="s">
        <v>666</v>
      </c>
      <c r="N4" s="111" t="s">
        <v>667</v>
      </c>
      <c r="O4" s="111" t="s">
        <v>668</v>
      </c>
      <c r="P4" s="111" t="s">
        <v>669</v>
      </c>
      <c r="Q4" s="111" t="s">
        <v>670</v>
      </c>
      <c r="R4" s="111" t="s">
        <v>671</v>
      </c>
      <c r="S4" s="111" t="s">
        <v>672</v>
      </c>
      <c r="T4" s="111" t="s">
        <v>536</v>
      </c>
      <c r="U4" s="111" t="s">
        <v>537</v>
      </c>
    </row>
    <row r="5" customFormat="false" ht="46.25" hidden="false" customHeight="false" outlineLevel="0" collapsed="false">
      <c r="A5" s="93" t="s">
        <v>673</v>
      </c>
      <c r="B5" s="94" t="s">
        <v>674</v>
      </c>
      <c r="C5" s="94" t="s">
        <v>675</v>
      </c>
      <c r="D5" s="94" t="s">
        <v>676</v>
      </c>
      <c r="E5" s="94" t="s">
        <v>313</v>
      </c>
      <c r="F5" s="99" t="str">
        <f aca="false">IF(E5="","",IFERROR(INDEX('Fontes e Parcerias'!$C$5:$C$500,MATCH(IFERROR(LEFT(E5,FIND(" · ",E5)-1),E5),'Fontes e Parcerias'!$A$5:$A$500,0)),"Fonte não encontrada"))</f>
        <v>Empresa Júnior</v>
      </c>
      <c r="G5" s="95" t="s">
        <v>677</v>
      </c>
      <c r="H5" s="94" t="s">
        <v>678</v>
      </c>
      <c r="I5" s="94" t="s">
        <v>679</v>
      </c>
      <c r="J5" s="116" t="n">
        <v>0</v>
      </c>
      <c r="K5" s="95" t="s">
        <v>680</v>
      </c>
      <c r="L5" s="95" t="s">
        <v>681</v>
      </c>
      <c r="M5" s="99" t="str">
        <f aca="false">IF(OR(K5="",L5=""),"",IF((IF(L5="Alto",3,IF(L5="Médio",2,1))-IF(K5="Alto",3,IF(K5="Médio",2,1)))=2,"⚡ Quick win",IF((IF(L5="Alto",3,IF(L5="Médio",2,1))-IF(K5="Alto",3,IF(K5="Médio",2,1)))=1,"🚀 Alto retorno",IF(AND(L5="Alto",K5="Alto"),"🎯 Estratégica",IF((IF(L5="Alto",3,IF(L5="Médio",2,1))-IF(K5="Alto",3,IF(K5="Médio",2,1)))=0,"⚖ Equilibrada","⏳ Baixo retorno")))))</f>
        <v>⚡ Quick win</v>
      </c>
      <c r="N5" s="94" t="s">
        <v>682</v>
      </c>
      <c r="O5" s="94" t="s">
        <v>683</v>
      </c>
      <c r="P5" s="95" t="s">
        <v>100</v>
      </c>
      <c r="Q5" s="94" t="s">
        <v>684</v>
      </c>
      <c r="R5" s="98" t="n">
        <v>46338</v>
      </c>
      <c r="S5" s="94" t="s">
        <v>548</v>
      </c>
      <c r="T5" s="98" t="n">
        <v>46293</v>
      </c>
      <c r="U5" s="94" t="s">
        <v>547</v>
      </c>
    </row>
    <row r="6" customFormat="false" ht="15" hidden="false" customHeight="false" outlineLevel="0" collapsed="false">
      <c r="A6" s="101" t="s">
        <v>685</v>
      </c>
      <c r="B6" s="102"/>
      <c r="C6" s="102"/>
      <c r="D6" s="102"/>
      <c r="E6" s="102"/>
      <c r="F6" s="99" t="str">
        <f aca="false">IF(E6="","",IFERROR(INDEX('Fontes e Parcerias'!$C$5:$C$500,MATCH(IFERROR(LEFT(E6,FIND(" · ",E6)-1),E6),'Fontes e Parcerias'!$A$5:$A$500,0)),"Fonte não encontrada"))</f>
        <v/>
      </c>
      <c r="G6" s="103"/>
      <c r="H6" s="102"/>
      <c r="I6" s="102"/>
      <c r="J6" s="117"/>
      <c r="K6" s="103"/>
      <c r="L6" s="103"/>
      <c r="M6" s="99" t="str">
        <f aca="false">IF(OR(K6="",L6=""),"",IF((IF(L6="Alto",3,IF(L6="Médio",2,1))-IF(K6="Alto",3,IF(K6="Médio",2,1)))=2,"⚡ Quick win",IF((IF(L6="Alto",3,IF(L6="Médio",2,1))-IF(K6="Alto",3,IF(K6="Médio",2,1)))=1,"🚀 Alto retorno",IF(AND(L6="Alto",K6="Alto"),"🎯 Estratégica",IF((IF(L6="Alto",3,IF(L6="Médio",2,1))-IF(K6="Alto",3,IF(K6="Médio",2,1)))=0,"⚖ Equilibrada","⏳ Baixo retorno")))))</f>
        <v/>
      </c>
      <c r="N6" s="102"/>
      <c r="O6" s="102"/>
      <c r="P6" s="103"/>
      <c r="Q6" s="102"/>
      <c r="R6" s="104"/>
      <c r="S6" s="102"/>
      <c r="T6" s="104"/>
      <c r="U6" s="102"/>
    </row>
    <row r="7" customFormat="false" ht="15" hidden="false" customHeight="false" outlineLevel="0" collapsed="false">
      <c r="A7" s="93" t="s">
        <v>686</v>
      </c>
      <c r="B7" s="105"/>
      <c r="C7" s="105"/>
      <c r="D7" s="105"/>
      <c r="E7" s="105"/>
      <c r="F7" s="99" t="str">
        <f aca="false">IF(E7="","",IFERROR(INDEX('Fontes e Parcerias'!$C$5:$C$500,MATCH(IFERROR(LEFT(E7,FIND(" · ",E7)-1),E7),'Fontes e Parcerias'!$A$5:$A$500,0)),"Fonte não encontrada"))</f>
        <v/>
      </c>
      <c r="G7" s="106"/>
      <c r="H7" s="105"/>
      <c r="I7" s="105"/>
      <c r="J7" s="118"/>
      <c r="K7" s="106"/>
      <c r="L7" s="106"/>
      <c r="M7" s="99" t="str">
        <f aca="false">IF(OR(K7="",L7=""),"",IF((IF(L7="Alto",3,IF(L7="Médio",2,1))-IF(K7="Alto",3,IF(K7="Médio",2,1)))=2,"⚡ Quick win",IF((IF(L7="Alto",3,IF(L7="Médio",2,1))-IF(K7="Alto",3,IF(K7="Médio",2,1)))=1,"🚀 Alto retorno",IF(AND(L7="Alto",K7="Alto"),"🎯 Estratégica",IF((IF(L7="Alto",3,IF(L7="Médio",2,1))-IF(K7="Alto",3,IF(K7="Médio",2,1)))=0,"⚖ Equilibrada","⏳ Baixo retorno")))))</f>
        <v/>
      </c>
      <c r="N7" s="105"/>
      <c r="O7" s="105"/>
      <c r="P7" s="106"/>
      <c r="Q7" s="105"/>
      <c r="R7" s="107"/>
      <c r="S7" s="105"/>
      <c r="T7" s="107"/>
      <c r="U7" s="105"/>
    </row>
    <row r="8" customFormat="false" ht="15" hidden="false" customHeight="false" outlineLevel="0" collapsed="false">
      <c r="A8" s="101" t="s">
        <v>687</v>
      </c>
      <c r="B8" s="102"/>
      <c r="C8" s="102"/>
      <c r="D8" s="102"/>
      <c r="E8" s="102"/>
      <c r="F8" s="99" t="str">
        <f aca="false">IF(E8="","",IFERROR(INDEX('Fontes e Parcerias'!$C$5:$C$500,MATCH(IFERROR(LEFT(E8,FIND(" · ",E8)-1),E8),'Fontes e Parcerias'!$A$5:$A$500,0)),"Fonte não encontrada"))</f>
        <v/>
      </c>
      <c r="G8" s="103"/>
      <c r="H8" s="102"/>
      <c r="I8" s="102"/>
      <c r="J8" s="117"/>
      <c r="K8" s="103"/>
      <c r="L8" s="103"/>
      <c r="M8" s="99" t="str">
        <f aca="false">IF(OR(K8="",L8=""),"",IF((IF(L8="Alto",3,IF(L8="Médio",2,1))-IF(K8="Alto",3,IF(K8="Médio",2,1)))=2,"⚡ Quick win",IF((IF(L8="Alto",3,IF(L8="Médio",2,1))-IF(K8="Alto",3,IF(K8="Médio",2,1)))=1,"🚀 Alto retorno",IF(AND(L8="Alto",K8="Alto"),"🎯 Estratégica",IF((IF(L8="Alto",3,IF(L8="Médio",2,1))-IF(K8="Alto",3,IF(K8="Médio",2,1)))=0,"⚖ Equilibrada","⏳ Baixo retorno")))))</f>
        <v/>
      </c>
      <c r="N8" s="102"/>
      <c r="O8" s="102"/>
      <c r="P8" s="103"/>
      <c r="Q8" s="102"/>
      <c r="R8" s="104"/>
      <c r="S8" s="102"/>
      <c r="T8" s="104"/>
      <c r="U8" s="102"/>
    </row>
    <row r="9" customFormat="false" ht="15" hidden="false" customHeight="false" outlineLevel="0" collapsed="false">
      <c r="A9" s="93" t="s">
        <v>688</v>
      </c>
      <c r="B9" s="105"/>
      <c r="C9" s="105"/>
      <c r="D9" s="105"/>
      <c r="E9" s="105"/>
      <c r="F9" s="99" t="str">
        <f aca="false">IF(E9="","",IFERROR(INDEX('Fontes e Parcerias'!$C$5:$C$500,MATCH(IFERROR(LEFT(E9,FIND(" · ",E9)-1),E9),'Fontes e Parcerias'!$A$5:$A$500,0)),"Fonte não encontrada"))</f>
        <v/>
      </c>
      <c r="G9" s="106"/>
      <c r="H9" s="105"/>
      <c r="I9" s="105"/>
      <c r="J9" s="118"/>
      <c r="K9" s="106"/>
      <c r="L9" s="106"/>
      <c r="M9" s="99" t="str">
        <f aca="false">IF(OR(K9="",L9=""),"",IF((IF(L9="Alto",3,IF(L9="Médio",2,1))-IF(K9="Alto",3,IF(K9="Médio",2,1)))=2,"⚡ Quick win",IF((IF(L9="Alto",3,IF(L9="Médio",2,1))-IF(K9="Alto",3,IF(K9="Médio",2,1)))=1,"🚀 Alto retorno",IF(AND(L9="Alto",K9="Alto"),"🎯 Estratégica",IF((IF(L9="Alto",3,IF(L9="Médio",2,1))-IF(K9="Alto",3,IF(K9="Médio",2,1)))=0,"⚖ Equilibrada","⏳ Baixo retorno")))))</f>
        <v/>
      </c>
      <c r="N9" s="105"/>
      <c r="O9" s="105"/>
      <c r="P9" s="106"/>
      <c r="Q9" s="105"/>
      <c r="R9" s="107"/>
      <c r="S9" s="105"/>
      <c r="T9" s="107"/>
      <c r="U9" s="105"/>
    </row>
    <row r="10" customFormat="false" ht="15" hidden="false" customHeight="false" outlineLevel="0" collapsed="false">
      <c r="A10" s="101" t="s">
        <v>689</v>
      </c>
      <c r="B10" s="102"/>
      <c r="C10" s="102"/>
      <c r="D10" s="102"/>
      <c r="E10" s="102"/>
      <c r="F10" s="99" t="str">
        <f aca="false">IF(E10="","",IFERROR(INDEX('Fontes e Parcerias'!$C$5:$C$500,MATCH(IFERROR(LEFT(E10,FIND(" · ",E10)-1),E10),'Fontes e Parcerias'!$A$5:$A$500,0)),"Fonte não encontrada"))</f>
        <v/>
      </c>
      <c r="G10" s="103"/>
      <c r="H10" s="102"/>
      <c r="I10" s="102"/>
      <c r="J10" s="117"/>
      <c r="K10" s="103"/>
      <c r="L10" s="103"/>
      <c r="M10" s="99" t="str">
        <f aca="false">IF(OR(K10="",L10=""),"",IF((IF(L10="Alto",3,IF(L10="Médio",2,1))-IF(K10="Alto",3,IF(K10="Médio",2,1)))=2,"⚡ Quick win",IF((IF(L10="Alto",3,IF(L10="Médio",2,1))-IF(K10="Alto",3,IF(K10="Médio",2,1)))=1,"🚀 Alto retorno",IF(AND(L10="Alto",K10="Alto"),"🎯 Estratégica",IF((IF(L10="Alto",3,IF(L10="Médio",2,1))-IF(K10="Alto",3,IF(K10="Médio",2,1)))=0,"⚖ Equilibrada","⏳ Baixo retorno")))))</f>
        <v/>
      </c>
      <c r="N10" s="102"/>
      <c r="O10" s="102"/>
      <c r="P10" s="103"/>
      <c r="Q10" s="102"/>
      <c r="R10" s="104"/>
      <c r="S10" s="102"/>
      <c r="T10" s="104"/>
      <c r="U10" s="102"/>
    </row>
    <row r="11" customFormat="false" ht="15" hidden="false" customHeight="false" outlineLevel="0" collapsed="false">
      <c r="A11" s="93" t="s">
        <v>690</v>
      </c>
      <c r="B11" s="105"/>
      <c r="C11" s="105"/>
      <c r="D11" s="105"/>
      <c r="E11" s="105"/>
      <c r="F11" s="99" t="str">
        <f aca="false">IF(E11="","",IFERROR(INDEX('Fontes e Parcerias'!$C$5:$C$500,MATCH(IFERROR(LEFT(E11,FIND(" · ",E11)-1),E11),'Fontes e Parcerias'!$A$5:$A$500,0)),"Fonte não encontrada"))</f>
        <v/>
      </c>
      <c r="G11" s="106"/>
      <c r="H11" s="105"/>
      <c r="I11" s="105"/>
      <c r="J11" s="118"/>
      <c r="K11" s="106"/>
      <c r="L11" s="106"/>
      <c r="M11" s="99" t="str">
        <f aca="false">IF(OR(K11="",L11=""),"",IF((IF(L11="Alto",3,IF(L11="Médio",2,1))-IF(K11="Alto",3,IF(K11="Médio",2,1)))=2,"⚡ Quick win",IF((IF(L11="Alto",3,IF(L11="Médio",2,1))-IF(K11="Alto",3,IF(K11="Médio",2,1)))=1,"🚀 Alto retorno",IF(AND(L11="Alto",K11="Alto"),"🎯 Estratégica",IF((IF(L11="Alto",3,IF(L11="Médio",2,1))-IF(K11="Alto",3,IF(K11="Médio",2,1)))=0,"⚖ Equilibrada","⏳ Baixo retorno")))))</f>
        <v/>
      </c>
      <c r="N11" s="105"/>
      <c r="O11" s="105"/>
      <c r="P11" s="106"/>
      <c r="Q11" s="105"/>
      <c r="R11" s="107"/>
      <c r="S11" s="105"/>
      <c r="T11" s="107"/>
      <c r="U11" s="105"/>
    </row>
    <row r="12" customFormat="false" ht="15" hidden="false" customHeight="false" outlineLevel="0" collapsed="false">
      <c r="A12" s="101" t="s">
        <v>691</v>
      </c>
      <c r="B12" s="102"/>
      <c r="C12" s="102"/>
      <c r="D12" s="102"/>
      <c r="E12" s="102"/>
      <c r="F12" s="99" t="str">
        <f aca="false">IF(E12="","",IFERROR(INDEX('Fontes e Parcerias'!$C$5:$C$500,MATCH(IFERROR(LEFT(E12,FIND(" · ",E12)-1),E12),'Fontes e Parcerias'!$A$5:$A$500,0)),"Fonte não encontrada"))</f>
        <v/>
      </c>
      <c r="G12" s="103"/>
      <c r="H12" s="102"/>
      <c r="I12" s="102"/>
      <c r="J12" s="117"/>
      <c r="K12" s="103"/>
      <c r="L12" s="103"/>
      <c r="M12" s="99" t="str">
        <f aca="false">IF(OR(K12="",L12=""),"",IF((IF(L12="Alto",3,IF(L12="Médio",2,1))-IF(K12="Alto",3,IF(K12="Médio",2,1)))=2,"⚡ Quick win",IF((IF(L12="Alto",3,IF(L12="Médio",2,1))-IF(K12="Alto",3,IF(K12="Médio",2,1)))=1,"🚀 Alto retorno",IF(AND(L12="Alto",K12="Alto"),"🎯 Estratégica",IF((IF(L12="Alto",3,IF(L12="Médio",2,1))-IF(K12="Alto",3,IF(K12="Médio",2,1)))=0,"⚖ Equilibrada","⏳ Baixo retorno")))))</f>
        <v/>
      </c>
      <c r="N12" s="102"/>
      <c r="O12" s="102"/>
      <c r="P12" s="103"/>
      <c r="Q12" s="102"/>
      <c r="R12" s="104"/>
      <c r="S12" s="102"/>
      <c r="T12" s="104"/>
      <c r="U12" s="102"/>
    </row>
    <row r="13" customFormat="false" ht="15" hidden="false" customHeight="false" outlineLevel="0" collapsed="false">
      <c r="A13" s="93" t="s">
        <v>692</v>
      </c>
      <c r="B13" s="105"/>
      <c r="C13" s="105"/>
      <c r="D13" s="105"/>
      <c r="E13" s="105"/>
      <c r="F13" s="99" t="str">
        <f aca="false">IF(E13="","",IFERROR(INDEX('Fontes e Parcerias'!$C$5:$C$500,MATCH(IFERROR(LEFT(E13,FIND(" · ",E13)-1),E13),'Fontes e Parcerias'!$A$5:$A$500,0)),"Fonte não encontrada"))</f>
        <v/>
      </c>
      <c r="G13" s="106"/>
      <c r="H13" s="105"/>
      <c r="I13" s="105"/>
      <c r="J13" s="118"/>
      <c r="K13" s="106"/>
      <c r="L13" s="106"/>
      <c r="M13" s="99" t="str">
        <f aca="false">IF(OR(K13="",L13=""),"",IF((IF(L13="Alto",3,IF(L13="Médio",2,1))-IF(K13="Alto",3,IF(K13="Médio",2,1)))=2,"⚡ Quick win",IF((IF(L13="Alto",3,IF(L13="Médio",2,1))-IF(K13="Alto",3,IF(K13="Médio",2,1)))=1,"🚀 Alto retorno",IF(AND(L13="Alto",K13="Alto"),"🎯 Estratégica",IF((IF(L13="Alto",3,IF(L13="Médio",2,1))-IF(K13="Alto",3,IF(K13="Médio",2,1)))=0,"⚖ Equilibrada","⏳ Baixo retorno")))))</f>
        <v/>
      </c>
      <c r="N13" s="105"/>
      <c r="O13" s="105"/>
      <c r="P13" s="106"/>
      <c r="Q13" s="105"/>
      <c r="R13" s="107"/>
      <c r="S13" s="105"/>
      <c r="T13" s="107"/>
      <c r="U13" s="105"/>
    </row>
    <row r="14" customFormat="false" ht="15" hidden="false" customHeight="false" outlineLevel="0" collapsed="false">
      <c r="A14" s="101" t="s">
        <v>693</v>
      </c>
      <c r="B14" s="102"/>
      <c r="C14" s="102"/>
      <c r="D14" s="102"/>
      <c r="E14" s="102"/>
      <c r="F14" s="99" t="str">
        <f aca="false">IF(E14="","",IFERROR(INDEX('Fontes e Parcerias'!$C$5:$C$500,MATCH(IFERROR(LEFT(E14,FIND(" · ",E14)-1),E14),'Fontes e Parcerias'!$A$5:$A$500,0)),"Fonte não encontrada"))</f>
        <v/>
      </c>
      <c r="G14" s="103"/>
      <c r="H14" s="102"/>
      <c r="I14" s="102"/>
      <c r="J14" s="117"/>
      <c r="K14" s="103"/>
      <c r="L14" s="103"/>
      <c r="M14" s="99" t="str">
        <f aca="false">IF(OR(K14="",L14=""),"",IF((IF(L14="Alto",3,IF(L14="Médio",2,1))-IF(K14="Alto",3,IF(K14="Médio",2,1)))=2,"⚡ Quick win",IF((IF(L14="Alto",3,IF(L14="Médio",2,1))-IF(K14="Alto",3,IF(K14="Médio",2,1)))=1,"🚀 Alto retorno",IF(AND(L14="Alto",K14="Alto"),"🎯 Estratégica",IF((IF(L14="Alto",3,IF(L14="Médio",2,1))-IF(K14="Alto",3,IF(K14="Médio",2,1)))=0,"⚖ Equilibrada","⏳ Baixo retorno")))))</f>
        <v/>
      </c>
      <c r="N14" s="102"/>
      <c r="O14" s="102"/>
      <c r="P14" s="103"/>
      <c r="Q14" s="102"/>
      <c r="R14" s="104"/>
      <c r="S14" s="102"/>
      <c r="T14" s="104"/>
      <c r="U14" s="102"/>
    </row>
    <row r="15" customFormat="false" ht="15" hidden="false" customHeight="false" outlineLevel="0" collapsed="false">
      <c r="A15" s="93" t="s">
        <v>694</v>
      </c>
      <c r="B15" s="105"/>
      <c r="C15" s="105"/>
      <c r="D15" s="105"/>
      <c r="E15" s="105"/>
      <c r="F15" s="99" t="str">
        <f aca="false">IF(E15="","",IFERROR(INDEX('Fontes e Parcerias'!$C$5:$C$500,MATCH(IFERROR(LEFT(E15,FIND(" · ",E15)-1),E15),'Fontes e Parcerias'!$A$5:$A$500,0)),"Fonte não encontrada"))</f>
        <v/>
      </c>
      <c r="G15" s="106"/>
      <c r="H15" s="105"/>
      <c r="I15" s="105"/>
      <c r="J15" s="118"/>
      <c r="K15" s="106"/>
      <c r="L15" s="106"/>
      <c r="M15" s="99" t="str">
        <f aca="false">IF(OR(K15="",L15=""),"",IF((IF(L15="Alto",3,IF(L15="Médio",2,1))-IF(K15="Alto",3,IF(K15="Médio",2,1)))=2,"⚡ Quick win",IF((IF(L15="Alto",3,IF(L15="Médio",2,1))-IF(K15="Alto",3,IF(K15="Médio",2,1)))=1,"🚀 Alto retorno",IF(AND(L15="Alto",K15="Alto"),"🎯 Estratégica",IF((IF(L15="Alto",3,IF(L15="Médio",2,1))-IF(K15="Alto",3,IF(K15="Médio",2,1)))=0,"⚖ Equilibrada","⏳ Baixo retorno")))))</f>
        <v/>
      </c>
      <c r="N15" s="105"/>
      <c r="O15" s="105"/>
      <c r="P15" s="106"/>
      <c r="Q15" s="105"/>
      <c r="R15" s="107"/>
      <c r="S15" s="105"/>
      <c r="T15" s="107"/>
      <c r="U15" s="105"/>
    </row>
    <row r="16" customFormat="false" ht="15" hidden="false" customHeight="false" outlineLevel="0" collapsed="false">
      <c r="A16" s="101" t="s">
        <v>695</v>
      </c>
      <c r="B16" s="102"/>
      <c r="C16" s="102"/>
      <c r="D16" s="102"/>
      <c r="E16" s="102"/>
      <c r="F16" s="99" t="str">
        <f aca="false">IF(E16="","",IFERROR(INDEX('Fontes e Parcerias'!$C$5:$C$500,MATCH(IFERROR(LEFT(E16,FIND(" · ",E16)-1),E16),'Fontes e Parcerias'!$A$5:$A$500,0)),"Fonte não encontrada"))</f>
        <v/>
      </c>
      <c r="G16" s="103"/>
      <c r="H16" s="102"/>
      <c r="I16" s="102"/>
      <c r="J16" s="117"/>
      <c r="K16" s="103"/>
      <c r="L16" s="103"/>
      <c r="M16" s="99" t="str">
        <f aca="false">IF(OR(K16="",L16=""),"",IF((IF(L16="Alto",3,IF(L16="Médio",2,1))-IF(K16="Alto",3,IF(K16="Médio",2,1)))=2,"⚡ Quick win",IF((IF(L16="Alto",3,IF(L16="Médio",2,1))-IF(K16="Alto",3,IF(K16="Médio",2,1)))=1,"🚀 Alto retorno",IF(AND(L16="Alto",K16="Alto"),"🎯 Estratégica",IF((IF(L16="Alto",3,IF(L16="Médio",2,1))-IF(K16="Alto",3,IF(K16="Médio",2,1)))=0,"⚖ Equilibrada","⏳ Baixo retorno")))))</f>
        <v/>
      </c>
      <c r="N16" s="102"/>
      <c r="O16" s="102"/>
      <c r="P16" s="103"/>
      <c r="Q16" s="102"/>
      <c r="R16" s="104"/>
      <c r="S16" s="102"/>
      <c r="T16" s="104"/>
      <c r="U16" s="102"/>
    </row>
    <row r="17" customFormat="false" ht="15" hidden="false" customHeight="false" outlineLevel="0" collapsed="false">
      <c r="A17" s="93" t="s">
        <v>696</v>
      </c>
      <c r="B17" s="105"/>
      <c r="C17" s="105"/>
      <c r="D17" s="105"/>
      <c r="E17" s="105"/>
      <c r="F17" s="99" t="str">
        <f aca="false">IF(E17="","",IFERROR(INDEX('Fontes e Parcerias'!$C$5:$C$500,MATCH(IFERROR(LEFT(E17,FIND(" · ",E17)-1),E17),'Fontes e Parcerias'!$A$5:$A$500,0)),"Fonte não encontrada"))</f>
        <v/>
      </c>
      <c r="G17" s="106"/>
      <c r="H17" s="105"/>
      <c r="I17" s="105"/>
      <c r="J17" s="118"/>
      <c r="K17" s="106"/>
      <c r="L17" s="106"/>
      <c r="M17" s="99" t="str">
        <f aca="false">IF(OR(K17="",L17=""),"",IF((IF(L17="Alto",3,IF(L17="Médio",2,1))-IF(K17="Alto",3,IF(K17="Médio",2,1)))=2,"⚡ Quick win",IF((IF(L17="Alto",3,IF(L17="Médio",2,1))-IF(K17="Alto",3,IF(K17="Médio",2,1)))=1,"🚀 Alto retorno",IF(AND(L17="Alto",K17="Alto"),"🎯 Estratégica",IF((IF(L17="Alto",3,IF(L17="Médio",2,1))-IF(K17="Alto",3,IF(K17="Médio",2,1)))=0,"⚖ Equilibrada","⏳ Baixo retorno")))))</f>
        <v/>
      </c>
      <c r="N17" s="105"/>
      <c r="O17" s="105"/>
      <c r="P17" s="106"/>
      <c r="Q17" s="105"/>
      <c r="R17" s="107"/>
      <c r="S17" s="105"/>
      <c r="T17" s="107"/>
      <c r="U17" s="105"/>
    </row>
    <row r="18" customFormat="false" ht="15" hidden="false" customHeight="false" outlineLevel="0" collapsed="false">
      <c r="A18" s="101" t="s">
        <v>697</v>
      </c>
      <c r="B18" s="102"/>
      <c r="C18" s="102"/>
      <c r="D18" s="102"/>
      <c r="E18" s="102"/>
      <c r="F18" s="99" t="str">
        <f aca="false">IF(E18="","",IFERROR(INDEX('Fontes e Parcerias'!$C$5:$C$500,MATCH(IFERROR(LEFT(E18,FIND(" · ",E18)-1),E18),'Fontes e Parcerias'!$A$5:$A$500,0)),"Fonte não encontrada"))</f>
        <v/>
      </c>
      <c r="G18" s="103"/>
      <c r="H18" s="102"/>
      <c r="I18" s="102"/>
      <c r="J18" s="117"/>
      <c r="K18" s="103"/>
      <c r="L18" s="103"/>
      <c r="M18" s="99" t="str">
        <f aca="false">IF(OR(K18="",L18=""),"",IF((IF(L18="Alto",3,IF(L18="Médio",2,1))-IF(K18="Alto",3,IF(K18="Médio",2,1)))=2,"⚡ Quick win",IF((IF(L18="Alto",3,IF(L18="Médio",2,1))-IF(K18="Alto",3,IF(K18="Médio",2,1)))=1,"🚀 Alto retorno",IF(AND(L18="Alto",K18="Alto"),"🎯 Estratégica",IF((IF(L18="Alto",3,IF(L18="Médio",2,1))-IF(K18="Alto",3,IF(K18="Médio",2,1)))=0,"⚖ Equilibrada","⏳ Baixo retorno")))))</f>
        <v/>
      </c>
      <c r="N18" s="102"/>
      <c r="O18" s="102"/>
      <c r="P18" s="103"/>
      <c r="Q18" s="102"/>
      <c r="R18" s="104"/>
      <c r="S18" s="102"/>
      <c r="T18" s="104"/>
      <c r="U18" s="102"/>
    </row>
    <row r="19" customFormat="false" ht="15" hidden="false" customHeight="false" outlineLevel="0" collapsed="false">
      <c r="A19" s="93" t="s">
        <v>698</v>
      </c>
      <c r="B19" s="105"/>
      <c r="C19" s="105"/>
      <c r="D19" s="105"/>
      <c r="E19" s="105"/>
      <c r="F19" s="99" t="str">
        <f aca="false">IF(E19="","",IFERROR(INDEX('Fontes e Parcerias'!$C$5:$C$500,MATCH(IFERROR(LEFT(E19,FIND(" · ",E19)-1),E19),'Fontes e Parcerias'!$A$5:$A$500,0)),"Fonte não encontrada"))</f>
        <v/>
      </c>
      <c r="G19" s="106"/>
      <c r="H19" s="105"/>
      <c r="I19" s="105"/>
      <c r="J19" s="118"/>
      <c r="K19" s="106"/>
      <c r="L19" s="106"/>
      <c r="M19" s="99" t="str">
        <f aca="false">IF(OR(K19="",L19=""),"",IF((IF(L19="Alto",3,IF(L19="Médio",2,1))-IF(K19="Alto",3,IF(K19="Médio",2,1)))=2,"⚡ Quick win",IF((IF(L19="Alto",3,IF(L19="Médio",2,1))-IF(K19="Alto",3,IF(K19="Médio",2,1)))=1,"🚀 Alto retorno",IF(AND(L19="Alto",K19="Alto"),"🎯 Estratégica",IF((IF(L19="Alto",3,IF(L19="Médio",2,1))-IF(K19="Alto",3,IF(K19="Médio",2,1)))=0,"⚖ Equilibrada","⏳ Baixo retorno")))))</f>
        <v/>
      </c>
      <c r="N19" s="105"/>
      <c r="O19" s="105"/>
      <c r="P19" s="106"/>
      <c r="Q19" s="105"/>
      <c r="R19" s="107"/>
      <c r="S19" s="105"/>
      <c r="T19" s="107"/>
      <c r="U19" s="105"/>
    </row>
    <row r="20" customFormat="false" ht="15" hidden="false" customHeight="false" outlineLevel="0" collapsed="false">
      <c r="A20" s="101" t="s">
        <v>699</v>
      </c>
      <c r="B20" s="102"/>
      <c r="C20" s="102"/>
      <c r="D20" s="102"/>
      <c r="E20" s="102"/>
      <c r="F20" s="99" t="str">
        <f aca="false">IF(E20="","",IFERROR(INDEX('Fontes e Parcerias'!$C$5:$C$500,MATCH(IFERROR(LEFT(E20,FIND(" · ",E20)-1),E20),'Fontes e Parcerias'!$A$5:$A$500,0)),"Fonte não encontrada"))</f>
        <v/>
      </c>
      <c r="G20" s="103"/>
      <c r="H20" s="102"/>
      <c r="I20" s="102"/>
      <c r="J20" s="117"/>
      <c r="K20" s="103"/>
      <c r="L20" s="103"/>
      <c r="M20" s="99" t="str">
        <f aca="false">IF(OR(K20="",L20=""),"",IF((IF(L20="Alto",3,IF(L20="Médio",2,1))-IF(K20="Alto",3,IF(K20="Médio",2,1)))=2,"⚡ Quick win",IF((IF(L20="Alto",3,IF(L20="Médio",2,1))-IF(K20="Alto",3,IF(K20="Médio",2,1)))=1,"🚀 Alto retorno",IF(AND(L20="Alto",K20="Alto"),"🎯 Estratégica",IF((IF(L20="Alto",3,IF(L20="Médio",2,1))-IF(K20="Alto",3,IF(K20="Médio",2,1)))=0,"⚖ Equilibrada","⏳ Baixo retorno")))))</f>
        <v/>
      </c>
      <c r="N20" s="102"/>
      <c r="O20" s="102"/>
      <c r="P20" s="103"/>
      <c r="Q20" s="102"/>
      <c r="R20" s="104"/>
      <c r="S20" s="102"/>
      <c r="T20" s="104"/>
      <c r="U20" s="102"/>
    </row>
    <row r="21" customFormat="false" ht="15" hidden="false" customHeight="false" outlineLevel="0" collapsed="false">
      <c r="A21" s="93" t="s">
        <v>700</v>
      </c>
      <c r="B21" s="105"/>
      <c r="C21" s="105"/>
      <c r="D21" s="105"/>
      <c r="E21" s="105"/>
      <c r="F21" s="99" t="str">
        <f aca="false">IF(E21="","",IFERROR(INDEX('Fontes e Parcerias'!$C$5:$C$500,MATCH(IFERROR(LEFT(E21,FIND(" · ",E21)-1),E21),'Fontes e Parcerias'!$A$5:$A$500,0)),"Fonte não encontrada"))</f>
        <v/>
      </c>
      <c r="G21" s="106"/>
      <c r="H21" s="105"/>
      <c r="I21" s="105"/>
      <c r="J21" s="118"/>
      <c r="K21" s="106"/>
      <c r="L21" s="106"/>
      <c r="M21" s="99" t="str">
        <f aca="false">IF(OR(K21="",L21=""),"",IF((IF(L21="Alto",3,IF(L21="Médio",2,1))-IF(K21="Alto",3,IF(K21="Médio",2,1)))=2,"⚡ Quick win",IF((IF(L21="Alto",3,IF(L21="Médio",2,1))-IF(K21="Alto",3,IF(K21="Médio",2,1)))=1,"🚀 Alto retorno",IF(AND(L21="Alto",K21="Alto"),"🎯 Estratégica",IF((IF(L21="Alto",3,IF(L21="Médio",2,1))-IF(K21="Alto",3,IF(K21="Médio",2,1)))=0,"⚖ Equilibrada","⏳ Baixo retorno")))))</f>
        <v/>
      </c>
      <c r="N21" s="105"/>
      <c r="O21" s="105"/>
      <c r="P21" s="106"/>
      <c r="Q21" s="105"/>
      <c r="R21" s="107"/>
      <c r="S21" s="105"/>
      <c r="T21" s="107"/>
      <c r="U21" s="105"/>
    </row>
    <row r="22" customFormat="false" ht="15" hidden="false" customHeight="false" outlineLevel="0" collapsed="false">
      <c r="A22" s="101" t="s">
        <v>701</v>
      </c>
      <c r="B22" s="102"/>
      <c r="C22" s="102"/>
      <c r="D22" s="102"/>
      <c r="E22" s="102"/>
      <c r="F22" s="99" t="str">
        <f aca="false">IF(E22="","",IFERROR(INDEX('Fontes e Parcerias'!$C$5:$C$500,MATCH(IFERROR(LEFT(E22,FIND(" · ",E22)-1),E22),'Fontes e Parcerias'!$A$5:$A$500,0)),"Fonte não encontrada"))</f>
        <v/>
      </c>
      <c r="G22" s="103"/>
      <c r="H22" s="102"/>
      <c r="I22" s="102"/>
      <c r="J22" s="117"/>
      <c r="K22" s="103"/>
      <c r="L22" s="103"/>
      <c r="M22" s="99" t="str">
        <f aca="false">IF(OR(K22="",L22=""),"",IF((IF(L22="Alto",3,IF(L22="Médio",2,1))-IF(K22="Alto",3,IF(K22="Médio",2,1)))=2,"⚡ Quick win",IF((IF(L22="Alto",3,IF(L22="Médio",2,1))-IF(K22="Alto",3,IF(K22="Médio",2,1)))=1,"🚀 Alto retorno",IF(AND(L22="Alto",K22="Alto"),"🎯 Estratégica",IF((IF(L22="Alto",3,IF(L22="Médio",2,1))-IF(K22="Alto",3,IF(K22="Médio",2,1)))=0,"⚖ Equilibrada","⏳ Baixo retorno")))))</f>
        <v/>
      </c>
      <c r="N22" s="102"/>
      <c r="O22" s="102"/>
      <c r="P22" s="103"/>
      <c r="Q22" s="102"/>
      <c r="R22" s="104"/>
      <c r="S22" s="102"/>
      <c r="T22" s="104"/>
      <c r="U22" s="102"/>
    </row>
    <row r="23" customFormat="false" ht="15" hidden="false" customHeight="false" outlineLevel="0" collapsed="false">
      <c r="A23" s="93" t="s">
        <v>702</v>
      </c>
      <c r="B23" s="105"/>
      <c r="C23" s="105"/>
      <c r="D23" s="105"/>
      <c r="E23" s="105"/>
      <c r="F23" s="99" t="str">
        <f aca="false">IF(E23="","",IFERROR(INDEX('Fontes e Parcerias'!$C$5:$C$500,MATCH(IFERROR(LEFT(E23,FIND(" · ",E23)-1),E23),'Fontes e Parcerias'!$A$5:$A$500,0)),"Fonte não encontrada"))</f>
        <v/>
      </c>
      <c r="G23" s="106"/>
      <c r="H23" s="105"/>
      <c r="I23" s="105"/>
      <c r="J23" s="118"/>
      <c r="K23" s="106"/>
      <c r="L23" s="106"/>
      <c r="M23" s="99" t="str">
        <f aca="false">IF(OR(K23="",L23=""),"",IF((IF(L23="Alto",3,IF(L23="Médio",2,1))-IF(K23="Alto",3,IF(K23="Médio",2,1)))=2,"⚡ Quick win",IF((IF(L23="Alto",3,IF(L23="Médio",2,1))-IF(K23="Alto",3,IF(K23="Médio",2,1)))=1,"🚀 Alto retorno",IF(AND(L23="Alto",K23="Alto"),"🎯 Estratégica",IF((IF(L23="Alto",3,IF(L23="Médio",2,1))-IF(K23="Alto",3,IF(K23="Médio",2,1)))=0,"⚖ Equilibrada","⏳ Baixo retorno")))))</f>
        <v/>
      </c>
      <c r="N23" s="105"/>
      <c r="O23" s="105"/>
      <c r="P23" s="106"/>
      <c r="Q23" s="105"/>
      <c r="R23" s="107"/>
      <c r="S23" s="105"/>
      <c r="T23" s="107"/>
      <c r="U23" s="105"/>
    </row>
    <row r="24" customFormat="false" ht="15" hidden="false" customHeight="false" outlineLevel="0" collapsed="false">
      <c r="A24" s="101" t="s">
        <v>703</v>
      </c>
      <c r="B24" s="102"/>
      <c r="C24" s="102"/>
      <c r="D24" s="102"/>
      <c r="E24" s="102"/>
      <c r="F24" s="99" t="str">
        <f aca="false">IF(E24="","",IFERROR(INDEX('Fontes e Parcerias'!$C$5:$C$500,MATCH(IFERROR(LEFT(E24,FIND(" · ",E24)-1),E24),'Fontes e Parcerias'!$A$5:$A$500,0)),"Fonte não encontrada"))</f>
        <v/>
      </c>
      <c r="G24" s="103"/>
      <c r="H24" s="102"/>
      <c r="I24" s="102"/>
      <c r="J24" s="117"/>
      <c r="K24" s="103"/>
      <c r="L24" s="103"/>
      <c r="M24" s="99" t="str">
        <f aca="false">IF(OR(K24="",L24=""),"",IF((IF(L24="Alto",3,IF(L24="Médio",2,1))-IF(K24="Alto",3,IF(K24="Médio",2,1)))=2,"⚡ Quick win",IF((IF(L24="Alto",3,IF(L24="Médio",2,1))-IF(K24="Alto",3,IF(K24="Médio",2,1)))=1,"🚀 Alto retorno",IF(AND(L24="Alto",K24="Alto"),"🎯 Estratégica",IF((IF(L24="Alto",3,IF(L24="Médio",2,1))-IF(K24="Alto",3,IF(K24="Médio",2,1)))=0,"⚖ Equilibrada","⏳ Baixo retorno")))))</f>
        <v/>
      </c>
      <c r="N24" s="102"/>
      <c r="O24" s="102"/>
      <c r="P24" s="103"/>
      <c r="Q24" s="102"/>
      <c r="R24" s="104"/>
      <c r="S24" s="102"/>
      <c r="T24" s="104"/>
      <c r="U24" s="102"/>
    </row>
    <row r="25" customFormat="false" ht="15" hidden="false" customHeight="false" outlineLevel="0" collapsed="false">
      <c r="A25" s="93" t="s">
        <v>704</v>
      </c>
      <c r="B25" s="105"/>
      <c r="C25" s="105"/>
      <c r="D25" s="105"/>
      <c r="E25" s="105"/>
      <c r="F25" s="99" t="str">
        <f aca="false">IF(E25="","",IFERROR(INDEX('Fontes e Parcerias'!$C$5:$C$500,MATCH(IFERROR(LEFT(E25,FIND(" · ",E25)-1),E25),'Fontes e Parcerias'!$A$5:$A$500,0)),"Fonte não encontrada"))</f>
        <v/>
      </c>
      <c r="G25" s="106"/>
      <c r="H25" s="105"/>
      <c r="I25" s="105"/>
      <c r="J25" s="118"/>
      <c r="K25" s="106"/>
      <c r="L25" s="106"/>
      <c r="M25" s="99" t="str">
        <f aca="false">IF(OR(K25="",L25=""),"",IF((IF(L25="Alto",3,IF(L25="Médio",2,1))-IF(K25="Alto",3,IF(K25="Médio",2,1)))=2,"⚡ Quick win",IF((IF(L25="Alto",3,IF(L25="Médio",2,1))-IF(K25="Alto",3,IF(K25="Médio",2,1)))=1,"🚀 Alto retorno",IF(AND(L25="Alto",K25="Alto"),"🎯 Estratégica",IF((IF(L25="Alto",3,IF(L25="Médio",2,1))-IF(K25="Alto",3,IF(K25="Médio",2,1)))=0,"⚖ Equilibrada","⏳ Baixo retorno")))))</f>
        <v/>
      </c>
      <c r="N25" s="105"/>
      <c r="O25" s="105"/>
      <c r="P25" s="106"/>
      <c r="Q25" s="105"/>
      <c r="R25" s="107"/>
      <c r="S25" s="105"/>
      <c r="T25" s="107"/>
      <c r="U25" s="105"/>
    </row>
    <row r="26" customFormat="false" ht="15" hidden="false" customHeight="false" outlineLevel="0" collapsed="false">
      <c r="A26" s="101" t="s">
        <v>705</v>
      </c>
      <c r="B26" s="102"/>
      <c r="C26" s="102"/>
      <c r="D26" s="102"/>
      <c r="E26" s="102"/>
      <c r="F26" s="99" t="str">
        <f aca="false">IF(E26="","",IFERROR(INDEX('Fontes e Parcerias'!$C$5:$C$500,MATCH(IFERROR(LEFT(E26,FIND(" · ",E26)-1),E26),'Fontes e Parcerias'!$A$5:$A$500,0)),"Fonte não encontrada"))</f>
        <v/>
      </c>
      <c r="G26" s="103"/>
      <c r="H26" s="102"/>
      <c r="I26" s="102"/>
      <c r="J26" s="117"/>
      <c r="K26" s="103"/>
      <c r="L26" s="103"/>
      <c r="M26" s="99" t="str">
        <f aca="false">IF(OR(K26="",L26=""),"",IF((IF(L26="Alto",3,IF(L26="Médio",2,1))-IF(K26="Alto",3,IF(K26="Médio",2,1)))=2,"⚡ Quick win",IF((IF(L26="Alto",3,IF(L26="Médio",2,1))-IF(K26="Alto",3,IF(K26="Médio",2,1)))=1,"🚀 Alto retorno",IF(AND(L26="Alto",K26="Alto"),"🎯 Estratégica",IF((IF(L26="Alto",3,IF(L26="Médio",2,1))-IF(K26="Alto",3,IF(K26="Médio",2,1)))=0,"⚖ Equilibrada","⏳ Baixo retorno")))))</f>
        <v/>
      </c>
      <c r="N26" s="102"/>
      <c r="O26" s="102"/>
      <c r="P26" s="103"/>
      <c r="Q26" s="102"/>
      <c r="R26" s="104"/>
      <c r="S26" s="102"/>
      <c r="T26" s="104"/>
      <c r="U26" s="102"/>
    </row>
    <row r="27" customFormat="false" ht="15" hidden="false" customHeight="false" outlineLevel="0" collapsed="false">
      <c r="A27" s="93" t="s">
        <v>706</v>
      </c>
      <c r="B27" s="105"/>
      <c r="C27" s="105"/>
      <c r="D27" s="105"/>
      <c r="E27" s="105"/>
      <c r="F27" s="99" t="str">
        <f aca="false">IF(E27="","",IFERROR(INDEX('Fontes e Parcerias'!$C$5:$C$500,MATCH(IFERROR(LEFT(E27,FIND(" · ",E27)-1),E27),'Fontes e Parcerias'!$A$5:$A$500,0)),"Fonte não encontrada"))</f>
        <v/>
      </c>
      <c r="G27" s="106"/>
      <c r="H27" s="105"/>
      <c r="I27" s="105"/>
      <c r="J27" s="118"/>
      <c r="K27" s="106"/>
      <c r="L27" s="106"/>
      <c r="M27" s="99" t="str">
        <f aca="false">IF(OR(K27="",L27=""),"",IF((IF(L27="Alto",3,IF(L27="Médio",2,1))-IF(K27="Alto",3,IF(K27="Médio",2,1)))=2,"⚡ Quick win",IF((IF(L27="Alto",3,IF(L27="Médio",2,1))-IF(K27="Alto",3,IF(K27="Médio",2,1)))=1,"🚀 Alto retorno",IF(AND(L27="Alto",K27="Alto"),"🎯 Estratégica",IF((IF(L27="Alto",3,IF(L27="Médio",2,1))-IF(K27="Alto",3,IF(K27="Médio",2,1)))=0,"⚖ Equilibrada","⏳ Baixo retorno")))))</f>
        <v/>
      </c>
      <c r="N27" s="105"/>
      <c r="O27" s="105"/>
      <c r="P27" s="106"/>
      <c r="Q27" s="105"/>
      <c r="R27" s="107"/>
      <c r="S27" s="105"/>
      <c r="T27" s="107"/>
      <c r="U27" s="105"/>
    </row>
    <row r="28" customFormat="false" ht="15" hidden="false" customHeight="false" outlineLevel="0" collapsed="false">
      <c r="A28" s="101" t="s">
        <v>707</v>
      </c>
      <c r="B28" s="102"/>
      <c r="C28" s="102"/>
      <c r="D28" s="102"/>
      <c r="E28" s="102"/>
      <c r="F28" s="99" t="str">
        <f aca="false">IF(E28="","",IFERROR(INDEX('Fontes e Parcerias'!$C$5:$C$500,MATCH(IFERROR(LEFT(E28,FIND(" · ",E28)-1),E28),'Fontes e Parcerias'!$A$5:$A$500,0)),"Fonte não encontrada"))</f>
        <v/>
      </c>
      <c r="G28" s="103"/>
      <c r="H28" s="102"/>
      <c r="I28" s="102"/>
      <c r="J28" s="117"/>
      <c r="K28" s="103"/>
      <c r="L28" s="103"/>
      <c r="M28" s="99" t="str">
        <f aca="false">IF(OR(K28="",L28=""),"",IF((IF(L28="Alto",3,IF(L28="Médio",2,1))-IF(K28="Alto",3,IF(K28="Médio",2,1)))=2,"⚡ Quick win",IF((IF(L28="Alto",3,IF(L28="Médio",2,1))-IF(K28="Alto",3,IF(K28="Médio",2,1)))=1,"🚀 Alto retorno",IF(AND(L28="Alto",K28="Alto"),"🎯 Estratégica",IF((IF(L28="Alto",3,IF(L28="Médio",2,1))-IF(K28="Alto",3,IF(K28="Médio",2,1)))=0,"⚖ Equilibrada","⏳ Baixo retorno")))))</f>
        <v/>
      </c>
      <c r="N28" s="102"/>
      <c r="O28" s="102"/>
      <c r="P28" s="103"/>
      <c r="Q28" s="102"/>
      <c r="R28" s="104"/>
      <c r="S28" s="102"/>
      <c r="T28" s="104"/>
      <c r="U28" s="102"/>
    </row>
    <row r="29" customFormat="false" ht="15" hidden="false" customHeight="false" outlineLevel="0" collapsed="false">
      <c r="A29" s="93" t="s">
        <v>708</v>
      </c>
      <c r="B29" s="105"/>
      <c r="C29" s="105"/>
      <c r="D29" s="105"/>
      <c r="E29" s="105"/>
      <c r="F29" s="99" t="str">
        <f aca="false">IF(E29="","",IFERROR(INDEX('Fontes e Parcerias'!$C$5:$C$500,MATCH(IFERROR(LEFT(E29,FIND(" · ",E29)-1),E29),'Fontes e Parcerias'!$A$5:$A$500,0)),"Fonte não encontrada"))</f>
        <v/>
      </c>
      <c r="G29" s="106"/>
      <c r="H29" s="105"/>
      <c r="I29" s="105"/>
      <c r="J29" s="118"/>
      <c r="K29" s="106"/>
      <c r="L29" s="106"/>
      <c r="M29" s="99" t="str">
        <f aca="false">IF(OR(K29="",L29=""),"",IF((IF(L29="Alto",3,IF(L29="Médio",2,1))-IF(K29="Alto",3,IF(K29="Médio",2,1)))=2,"⚡ Quick win",IF((IF(L29="Alto",3,IF(L29="Médio",2,1))-IF(K29="Alto",3,IF(K29="Médio",2,1)))=1,"🚀 Alto retorno",IF(AND(L29="Alto",K29="Alto"),"🎯 Estratégica",IF((IF(L29="Alto",3,IF(L29="Médio",2,1))-IF(K29="Alto",3,IF(K29="Médio",2,1)))=0,"⚖ Equilibrada","⏳ Baixo retorno")))))</f>
        <v/>
      </c>
      <c r="N29" s="105"/>
      <c r="O29" s="105"/>
      <c r="P29" s="106"/>
      <c r="Q29" s="105"/>
      <c r="R29" s="107"/>
      <c r="S29" s="105"/>
      <c r="T29" s="107"/>
      <c r="U29" s="105"/>
    </row>
    <row r="30" customFormat="false" ht="15" hidden="false" customHeight="false" outlineLevel="0" collapsed="false">
      <c r="A30" s="101" t="s">
        <v>709</v>
      </c>
      <c r="B30" s="102"/>
      <c r="C30" s="102"/>
      <c r="D30" s="102"/>
      <c r="E30" s="102"/>
      <c r="F30" s="99" t="str">
        <f aca="false">IF(E30="","",IFERROR(INDEX('Fontes e Parcerias'!$C$5:$C$500,MATCH(IFERROR(LEFT(E30,FIND(" · ",E30)-1),E30),'Fontes e Parcerias'!$A$5:$A$500,0)),"Fonte não encontrada"))</f>
        <v/>
      </c>
      <c r="G30" s="103"/>
      <c r="H30" s="102"/>
      <c r="I30" s="102"/>
      <c r="J30" s="117"/>
      <c r="K30" s="103"/>
      <c r="L30" s="103"/>
      <c r="M30" s="99" t="str">
        <f aca="false">IF(OR(K30="",L30=""),"",IF((IF(L30="Alto",3,IF(L30="Médio",2,1))-IF(K30="Alto",3,IF(K30="Médio",2,1)))=2,"⚡ Quick win",IF((IF(L30="Alto",3,IF(L30="Médio",2,1))-IF(K30="Alto",3,IF(K30="Médio",2,1)))=1,"🚀 Alto retorno",IF(AND(L30="Alto",K30="Alto"),"🎯 Estratégica",IF((IF(L30="Alto",3,IF(L30="Médio",2,1))-IF(K30="Alto",3,IF(K30="Médio",2,1)))=0,"⚖ Equilibrada","⏳ Baixo retorno")))))</f>
        <v/>
      </c>
      <c r="N30" s="102"/>
      <c r="O30" s="102"/>
      <c r="P30" s="103"/>
      <c r="Q30" s="102"/>
      <c r="R30" s="104"/>
      <c r="S30" s="102"/>
      <c r="T30" s="104"/>
      <c r="U30" s="102"/>
    </row>
    <row r="31" customFormat="false" ht="15" hidden="false" customHeight="false" outlineLevel="0" collapsed="false">
      <c r="A31" s="93" t="s">
        <v>710</v>
      </c>
      <c r="B31" s="105"/>
      <c r="C31" s="105"/>
      <c r="D31" s="105"/>
      <c r="E31" s="105"/>
      <c r="F31" s="99" t="str">
        <f aca="false">IF(E31="","",IFERROR(INDEX('Fontes e Parcerias'!$C$5:$C$500,MATCH(IFERROR(LEFT(E31,FIND(" · ",E31)-1),E31),'Fontes e Parcerias'!$A$5:$A$500,0)),"Fonte não encontrada"))</f>
        <v/>
      </c>
      <c r="G31" s="106"/>
      <c r="H31" s="105"/>
      <c r="I31" s="105"/>
      <c r="J31" s="118"/>
      <c r="K31" s="106"/>
      <c r="L31" s="106"/>
      <c r="M31" s="99" t="str">
        <f aca="false">IF(OR(K31="",L31=""),"",IF((IF(L31="Alto",3,IF(L31="Médio",2,1))-IF(K31="Alto",3,IF(K31="Médio",2,1)))=2,"⚡ Quick win",IF((IF(L31="Alto",3,IF(L31="Médio",2,1))-IF(K31="Alto",3,IF(K31="Médio",2,1)))=1,"🚀 Alto retorno",IF(AND(L31="Alto",K31="Alto"),"🎯 Estratégica",IF((IF(L31="Alto",3,IF(L31="Médio",2,1))-IF(K31="Alto",3,IF(K31="Médio",2,1)))=0,"⚖ Equilibrada","⏳ Baixo retorno")))))</f>
        <v/>
      </c>
      <c r="N31" s="105"/>
      <c r="O31" s="105"/>
      <c r="P31" s="106"/>
      <c r="Q31" s="105"/>
      <c r="R31" s="107"/>
      <c r="S31" s="105"/>
      <c r="T31" s="107"/>
      <c r="U31" s="105"/>
    </row>
    <row r="32" customFormat="false" ht="15" hidden="false" customHeight="false" outlineLevel="0" collapsed="false">
      <c r="A32" s="101" t="s">
        <v>711</v>
      </c>
      <c r="B32" s="102"/>
      <c r="C32" s="102"/>
      <c r="D32" s="102"/>
      <c r="E32" s="102"/>
      <c r="F32" s="99" t="str">
        <f aca="false">IF(E32="","",IFERROR(INDEX('Fontes e Parcerias'!$C$5:$C$500,MATCH(IFERROR(LEFT(E32,FIND(" · ",E32)-1),E32),'Fontes e Parcerias'!$A$5:$A$500,0)),"Fonte não encontrada"))</f>
        <v/>
      </c>
      <c r="G32" s="103"/>
      <c r="H32" s="102"/>
      <c r="I32" s="102"/>
      <c r="J32" s="117"/>
      <c r="K32" s="103"/>
      <c r="L32" s="103"/>
      <c r="M32" s="99" t="str">
        <f aca="false">IF(OR(K32="",L32=""),"",IF((IF(L32="Alto",3,IF(L32="Médio",2,1))-IF(K32="Alto",3,IF(K32="Médio",2,1)))=2,"⚡ Quick win",IF((IF(L32="Alto",3,IF(L32="Médio",2,1))-IF(K32="Alto",3,IF(K32="Médio",2,1)))=1,"🚀 Alto retorno",IF(AND(L32="Alto",K32="Alto"),"🎯 Estratégica",IF((IF(L32="Alto",3,IF(L32="Médio",2,1))-IF(K32="Alto",3,IF(K32="Médio",2,1)))=0,"⚖ Equilibrada","⏳ Baixo retorno")))))</f>
        <v/>
      </c>
      <c r="N32" s="102"/>
      <c r="O32" s="102"/>
      <c r="P32" s="103"/>
      <c r="Q32" s="102"/>
      <c r="R32" s="104"/>
      <c r="S32" s="102"/>
      <c r="T32" s="104"/>
      <c r="U32" s="102"/>
    </row>
    <row r="33" customFormat="false" ht="15" hidden="false" customHeight="false" outlineLevel="0" collapsed="false">
      <c r="A33" s="93" t="s">
        <v>712</v>
      </c>
      <c r="B33" s="105"/>
      <c r="C33" s="105"/>
      <c r="D33" s="105"/>
      <c r="E33" s="105"/>
      <c r="F33" s="99" t="str">
        <f aca="false">IF(E33="","",IFERROR(INDEX('Fontes e Parcerias'!$C$5:$C$500,MATCH(IFERROR(LEFT(E33,FIND(" · ",E33)-1),E33),'Fontes e Parcerias'!$A$5:$A$500,0)),"Fonte não encontrada"))</f>
        <v/>
      </c>
      <c r="G33" s="106"/>
      <c r="H33" s="105"/>
      <c r="I33" s="105"/>
      <c r="J33" s="118"/>
      <c r="K33" s="106"/>
      <c r="L33" s="106"/>
      <c r="M33" s="99" t="str">
        <f aca="false">IF(OR(K33="",L33=""),"",IF((IF(L33="Alto",3,IF(L33="Médio",2,1))-IF(K33="Alto",3,IF(K33="Médio",2,1)))=2,"⚡ Quick win",IF((IF(L33="Alto",3,IF(L33="Médio",2,1))-IF(K33="Alto",3,IF(K33="Médio",2,1)))=1,"🚀 Alto retorno",IF(AND(L33="Alto",K33="Alto"),"🎯 Estratégica",IF((IF(L33="Alto",3,IF(L33="Médio",2,1))-IF(K33="Alto",3,IF(K33="Médio",2,1)))=0,"⚖ Equilibrada","⏳ Baixo retorno")))))</f>
        <v/>
      </c>
      <c r="N33" s="105"/>
      <c r="O33" s="105"/>
      <c r="P33" s="106"/>
      <c r="Q33" s="105"/>
      <c r="R33" s="107"/>
      <c r="S33" s="105"/>
      <c r="T33" s="107"/>
      <c r="U33" s="105"/>
    </row>
    <row r="34" customFormat="false" ht="15" hidden="false" customHeight="false" outlineLevel="0" collapsed="false">
      <c r="A34" s="101" t="s">
        <v>713</v>
      </c>
      <c r="B34" s="102"/>
      <c r="C34" s="102"/>
      <c r="D34" s="102"/>
      <c r="E34" s="102"/>
      <c r="F34" s="99" t="str">
        <f aca="false">IF(E34="","",IFERROR(INDEX('Fontes e Parcerias'!$C$5:$C$500,MATCH(IFERROR(LEFT(E34,FIND(" · ",E34)-1),E34),'Fontes e Parcerias'!$A$5:$A$500,0)),"Fonte não encontrada"))</f>
        <v/>
      </c>
      <c r="G34" s="103"/>
      <c r="H34" s="102"/>
      <c r="I34" s="102"/>
      <c r="J34" s="117"/>
      <c r="K34" s="103"/>
      <c r="L34" s="103"/>
      <c r="M34" s="99" t="str">
        <f aca="false">IF(OR(K34="",L34=""),"",IF((IF(L34="Alto",3,IF(L34="Médio",2,1))-IF(K34="Alto",3,IF(K34="Médio",2,1)))=2,"⚡ Quick win",IF((IF(L34="Alto",3,IF(L34="Médio",2,1))-IF(K34="Alto",3,IF(K34="Médio",2,1)))=1,"🚀 Alto retorno",IF(AND(L34="Alto",K34="Alto"),"🎯 Estratégica",IF((IF(L34="Alto",3,IF(L34="Médio",2,1))-IF(K34="Alto",3,IF(K34="Médio",2,1)))=0,"⚖ Equilibrada","⏳ Baixo retorno")))))</f>
        <v/>
      </c>
      <c r="N34" s="102"/>
      <c r="O34" s="102"/>
      <c r="P34" s="103"/>
      <c r="Q34" s="102"/>
      <c r="R34" s="104"/>
      <c r="S34" s="102"/>
      <c r="T34" s="104"/>
      <c r="U34" s="102"/>
    </row>
    <row r="35" customFormat="false" ht="15" hidden="false" customHeight="false" outlineLevel="0" collapsed="false">
      <c r="A35" s="93" t="s">
        <v>714</v>
      </c>
      <c r="B35" s="105"/>
      <c r="C35" s="105"/>
      <c r="D35" s="105"/>
      <c r="E35" s="105"/>
      <c r="F35" s="99" t="str">
        <f aca="false">IF(E35="","",IFERROR(INDEX('Fontes e Parcerias'!$C$5:$C$500,MATCH(IFERROR(LEFT(E35,FIND(" · ",E35)-1),E35),'Fontes e Parcerias'!$A$5:$A$500,0)),"Fonte não encontrada"))</f>
        <v/>
      </c>
      <c r="G35" s="106"/>
      <c r="H35" s="105"/>
      <c r="I35" s="105"/>
      <c r="J35" s="118"/>
      <c r="K35" s="106"/>
      <c r="L35" s="106"/>
      <c r="M35" s="99" t="str">
        <f aca="false">IF(OR(K35="",L35=""),"",IF((IF(L35="Alto",3,IF(L35="Médio",2,1))-IF(K35="Alto",3,IF(K35="Médio",2,1)))=2,"⚡ Quick win",IF((IF(L35="Alto",3,IF(L35="Médio",2,1))-IF(K35="Alto",3,IF(K35="Médio",2,1)))=1,"🚀 Alto retorno",IF(AND(L35="Alto",K35="Alto"),"🎯 Estratégica",IF((IF(L35="Alto",3,IF(L35="Médio",2,1))-IF(K35="Alto",3,IF(K35="Médio",2,1)))=0,"⚖ Equilibrada","⏳ Baixo retorno")))))</f>
        <v/>
      </c>
      <c r="N35" s="105"/>
      <c r="O35" s="105"/>
      <c r="P35" s="106"/>
      <c r="Q35" s="105"/>
      <c r="R35" s="107"/>
      <c r="S35" s="105"/>
      <c r="T35" s="107"/>
      <c r="U35" s="105"/>
    </row>
    <row r="36" customFormat="false" ht="15" hidden="false" customHeight="false" outlineLevel="0" collapsed="false">
      <c r="A36" s="101" t="s">
        <v>715</v>
      </c>
      <c r="B36" s="102"/>
      <c r="C36" s="102"/>
      <c r="D36" s="102"/>
      <c r="E36" s="102"/>
      <c r="F36" s="99" t="str">
        <f aca="false">IF(E36="","",IFERROR(INDEX('Fontes e Parcerias'!$C$5:$C$500,MATCH(IFERROR(LEFT(E36,FIND(" · ",E36)-1),E36),'Fontes e Parcerias'!$A$5:$A$500,0)),"Fonte não encontrada"))</f>
        <v/>
      </c>
      <c r="G36" s="103"/>
      <c r="H36" s="102"/>
      <c r="I36" s="102"/>
      <c r="J36" s="117"/>
      <c r="K36" s="103"/>
      <c r="L36" s="103"/>
      <c r="M36" s="99" t="str">
        <f aca="false">IF(OR(K36="",L36=""),"",IF((IF(L36="Alto",3,IF(L36="Médio",2,1))-IF(K36="Alto",3,IF(K36="Médio",2,1)))=2,"⚡ Quick win",IF((IF(L36="Alto",3,IF(L36="Médio",2,1))-IF(K36="Alto",3,IF(K36="Médio",2,1)))=1,"🚀 Alto retorno",IF(AND(L36="Alto",K36="Alto"),"🎯 Estratégica",IF((IF(L36="Alto",3,IF(L36="Médio",2,1))-IF(K36="Alto",3,IF(K36="Médio",2,1)))=0,"⚖ Equilibrada","⏳ Baixo retorno")))))</f>
        <v/>
      </c>
      <c r="N36" s="102"/>
      <c r="O36" s="102"/>
      <c r="P36" s="103"/>
      <c r="Q36" s="102"/>
      <c r="R36" s="104"/>
      <c r="S36" s="102"/>
      <c r="T36" s="104"/>
      <c r="U36" s="102"/>
    </row>
    <row r="37" customFormat="false" ht="15" hidden="false" customHeight="false" outlineLevel="0" collapsed="false">
      <c r="A37" s="93" t="s">
        <v>716</v>
      </c>
      <c r="B37" s="105"/>
      <c r="C37" s="105"/>
      <c r="D37" s="105"/>
      <c r="E37" s="105"/>
      <c r="F37" s="99" t="str">
        <f aca="false">IF(E37="","",IFERROR(INDEX('Fontes e Parcerias'!$C$5:$C$500,MATCH(IFERROR(LEFT(E37,FIND(" · ",E37)-1),E37),'Fontes e Parcerias'!$A$5:$A$500,0)),"Fonte não encontrada"))</f>
        <v/>
      </c>
      <c r="G37" s="106"/>
      <c r="H37" s="105"/>
      <c r="I37" s="105"/>
      <c r="J37" s="118"/>
      <c r="K37" s="106"/>
      <c r="L37" s="106"/>
      <c r="M37" s="99" t="str">
        <f aca="false">IF(OR(K37="",L37=""),"",IF((IF(L37="Alto",3,IF(L37="Médio",2,1))-IF(K37="Alto",3,IF(K37="Médio",2,1)))=2,"⚡ Quick win",IF((IF(L37="Alto",3,IF(L37="Médio",2,1))-IF(K37="Alto",3,IF(K37="Médio",2,1)))=1,"🚀 Alto retorno",IF(AND(L37="Alto",K37="Alto"),"🎯 Estratégica",IF((IF(L37="Alto",3,IF(L37="Médio",2,1))-IF(K37="Alto",3,IF(K37="Médio",2,1)))=0,"⚖ Equilibrada","⏳ Baixo retorno")))))</f>
        <v/>
      </c>
      <c r="N37" s="105"/>
      <c r="O37" s="105"/>
      <c r="P37" s="106"/>
      <c r="Q37" s="105"/>
      <c r="R37" s="107"/>
      <c r="S37" s="105"/>
      <c r="T37" s="107"/>
      <c r="U37" s="105"/>
    </row>
    <row r="38" customFormat="false" ht="15" hidden="false" customHeight="false" outlineLevel="0" collapsed="false">
      <c r="A38" s="101" t="s">
        <v>717</v>
      </c>
      <c r="B38" s="102"/>
      <c r="C38" s="102"/>
      <c r="D38" s="102"/>
      <c r="E38" s="102"/>
      <c r="F38" s="99" t="str">
        <f aca="false">IF(E38="","",IFERROR(INDEX('Fontes e Parcerias'!$C$5:$C$500,MATCH(IFERROR(LEFT(E38,FIND(" · ",E38)-1),E38),'Fontes e Parcerias'!$A$5:$A$500,0)),"Fonte não encontrada"))</f>
        <v/>
      </c>
      <c r="G38" s="103"/>
      <c r="H38" s="102"/>
      <c r="I38" s="102"/>
      <c r="J38" s="117"/>
      <c r="K38" s="103"/>
      <c r="L38" s="103"/>
      <c r="M38" s="99" t="str">
        <f aca="false">IF(OR(K38="",L38=""),"",IF((IF(L38="Alto",3,IF(L38="Médio",2,1))-IF(K38="Alto",3,IF(K38="Médio",2,1)))=2,"⚡ Quick win",IF((IF(L38="Alto",3,IF(L38="Médio",2,1))-IF(K38="Alto",3,IF(K38="Médio",2,1)))=1,"🚀 Alto retorno",IF(AND(L38="Alto",K38="Alto"),"🎯 Estratégica",IF((IF(L38="Alto",3,IF(L38="Médio",2,1))-IF(K38="Alto",3,IF(K38="Médio",2,1)))=0,"⚖ Equilibrada","⏳ Baixo retorno")))))</f>
        <v/>
      </c>
      <c r="N38" s="102"/>
      <c r="O38" s="102"/>
      <c r="P38" s="103"/>
      <c r="Q38" s="102"/>
      <c r="R38" s="104"/>
      <c r="S38" s="102"/>
      <c r="T38" s="104"/>
      <c r="U38" s="102"/>
    </row>
    <row r="39" customFormat="false" ht="15" hidden="false" customHeight="false" outlineLevel="0" collapsed="false">
      <c r="A39" s="93" t="s">
        <v>718</v>
      </c>
      <c r="B39" s="105"/>
      <c r="C39" s="105"/>
      <c r="D39" s="105"/>
      <c r="E39" s="105"/>
      <c r="F39" s="99" t="str">
        <f aca="false">IF(E39="","",IFERROR(INDEX('Fontes e Parcerias'!$C$5:$C$500,MATCH(IFERROR(LEFT(E39,FIND(" · ",E39)-1),E39),'Fontes e Parcerias'!$A$5:$A$500,0)),"Fonte não encontrada"))</f>
        <v/>
      </c>
      <c r="G39" s="106"/>
      <c r="H39" s="105"/>
      <c r="I39" s="105"/>
      <c r="J39" s="118"/>
      <c r="K39" s="106"/>
      <c r="L39" s="106"/>
      <c r="M39" s="99" t="str">
        <f aca="false">IF(OR(K39="",L39=""),"",IF((IF(L39="Alto",3,IF(L39="Médio",2,1))-IF(K39="Alto",3,IF(K39="Médio",2,1)))=2,"⚡ Quick win",IF((IF(L39="Alto",3,IF(L39="Médio",2,1))-IF(K39="Alto",3,IF(K39="Médio",2,1)))=1,"🚀 Alto retorno",IF(AND(L39="Alto",K39="Alto"),"🎯 Estratégica",IF((IF(L39="Alto",3,IF(L39="Médio",2,1))-IF(K39="Alto",3,IF(K39="Médio",2,1)))=0,"⚖ Equilibrada","⏳ Baixo retorno")))))</f>
        <v/>
      </c>
      <c r="N39" s="105"/>
      <c r="O39" s="105"/>
      <c r="P39" s="106"/>
      <c r="Q39" s="105"/>
      <c r="R39" s="107"/>
      <c r="S39" s="105"/>
      <c r="T39" s="107"/>
      <c r="U39" s="105"/>
    </row>
    <row r="40" customFormat="false" ht="15" hidden="false" customHeight="false" outlineLevel="0" collapsed="false">
      <c r="A40" s="101" t="s">
        <v>719</v>
      </c>
      <c r="B40" s="102"/>
      <c r="C40" s="102"/>
      <c r="D40" s="102"/>
      <c r="E40" s="102"/>
      <c r="F40" s="99" t="str">
        <f aca="false">IF(E40="","",IFERROR(INDEX('Fontes e Parcerias'!$C$5:$C$500,MATCH(IFERROR(LEFT(E40,FIND(" · ",E40)-1),E40),'Fontes e Parcerias'!$A$5:$A$500,0)),"Fonte não encontrada"))</f>
        <v/>
      </c>
      <c r="G40" s="103"/>
      <c r="H40" s="102"/>
      <c r="I40" s="102"/>
      <c r="J40" s="117"/>
      <c r="K40" s="103"/>
      <c r="L40" s="103"/>
      <c r="M40" s="99" t="str">
        <f aca="false">IF(OR(K40="",L40=""),"",IF((IF(L40="Alto",3,IF(L40="Médio",2,1))-IF(K40="Alto",3,IF(K40="Médio",2,1)))=2,"⚡ Quick win",IF((IF(L40="Alto",3,IF(L40="Médio",2,1))-IF(K40="Alto",3,IF(K40="Médio",2,1)))=1,"🚀 Alto retorno",IF(AND(L40="Alto",K40="Alto"),"🎯 Estratégica",IF((IF(L40="Alto",3,IF(L40="Médio",2,1))-IF(K40="Alto",3,IF(K40="Médio",2,1)))=0,"⚖ Equilibrada","⏳ Baixo retorno")))))</f>
        <v/>
      </c>
      <c r="N40" s="102"/>
      <c r="O40" s="102"/>
      <c r="P40" s="103"/>
      <c r="Q40" s="102"/>
      <c r="R40" s="104"/>
      <c r="S40" s="102"/>
      <c r="T40" s="104"/>
      <c r="U40" s="102"/>
    </row>
    <row r="41" customFormat="false" ht="15" hidden="false" customHeight="false" outlineLevel="0" collapsed="false">
      <c r="A41" s="93" t="s">
        <v>720</v>
      </c>
      <c r="B41" s="105"/>
      <c r="C41" s="105"/>
      <c r="D41" s="105"/>
      <c r="E41" s="105"/>
      <c r="F41" s="99" t="str">
        <f aca="false">IF(E41="","",IFERROR(INDEX('Fontes e Parcerias'!$C$5:$C$500,MATCH(IFERROR(LEFT(E41,FIND(" · ",E41)-1),E41),'Fontes e Parcerias'!$A$5:$A$500,0)),"Fonte não encontrada"))</f>
        <v/>
      </c>
      <c r="G41" s="106"/>
      <c r="H41" s="105"/>
      <c r="I41" s="105"/>
      <c r="J41" s="118"/>
      <c r="K41" s="106"/>
      <c r="L41" s="106"/>
      <c r="M41" s="99" t="str">
        <f aca="false">IF(OR(K41="",L41=""),"",IF((IF(L41="Alto",3,IF(L41="Médio",2,1))-IF(K41="Alto",3,IF(K41="Médio",2,1)))=2,"⚡ Quick win",IF((IF(L41="Alto",3,IF(L41="Médio",2,1))-IF(K41="Alto",3,IF(K41="Médio",2,1)))=1,"🚀 Alto retorno",IF(AND(L41="Alto",K41="Alto"),"🎯 Estratégica",IF((IF(L41="Alto",3,IF(L41="Médio",2,1))-IF(K41="Alto",3,IF(K41="Médio",2,1)))=0,"⚖ Equilibrada","⏳ Baixo retorno")))))</f>
        <v/>
      </c>
      <c r="N41" s="105"/>
      <c r="O41" s="105"/>
      <c r="P41" s="106"/>
      <c r="Q41" s="105"/>
      <c r="R41" s="107"/>
      <c r="S41" s="105"/>
      <c r="T41" s="107"/>
      <c r="U41" s="105"/>
    </row>
    <row r="42" customFormat="false" ht="15" hidden="false" customHeight="false" outlineLevel="0" collapsed="false">
      <c r="A42" s="101" t="s">
        <v>721</v>
      </c>
      <c r="B42" s="102"/>
      <c r="C42" s="102"/>
      <c r="D42" s="102"/>
      <c r="E42" s="102"/>
      <c r="F42" s="99" t="str">
        <f aca="false">IF(E42="","",IFERROR(INDEX('Fontes e Parcerias'!$C$5:$C$500,MATCH(IFERROR(LEFT(E42,FIND(" · ",E42)-1),E42),'Fontes e Parcerias'!$A$5:$A$500,0)),"Fonte não encontrada"))</f>
        <v/>
      </c>
      <c r="G42" s="103"/>
      <c r="H42" s="102"/>
      <c r="I42" s="102"/>
      <c r="J42" s="117"/>
      <c r="K42" s="103"/>
      <c r="L42" s="103"/>
      <c r="M42" s="99" t="str">
        <f aca="false">IF(OR(K42="",L42=""),"",IF((IF(L42="Alto",3,IF(L42="Médio",2,1))-IF(K42="Alto",3,IF(K42="Médio",2,1)))=2,"⚡ Quick win",IF((IF(L42="Alto",3,IF(L42="Médio",2,1))-IF(K42="Alto",3,IF(K42="Médio",2,1)))=1,"🚀 Alto retorno",IF(AND(L42="Alto",K42="Alto"),"🎯 Estratégica",IF((IF(L42="Alto",3,IF(L42="Médio",2,1))-IF(K42="Alto",3,IF(K42="Médio",2,1)))=0,"⚖ Equilibrada","⏳ Baixo retorno")))))</f>
        <v/>
      </c>
      <c r="N42" s="102"/>
      <c r="O42" s="102"/>
      <c r="P42" s="103"/>
      <c r="Q42" s="102"/>
      <c r="R42" s="104"/>
      <c r="S42" s="102"/>
      <c r="T42" s="104"/>
      <c r="U42" s="102"/>
    </row>
    <row r="43" customFormat="false" ht="15" hidden="false" customHeight="false" outlineLevel="0" collapsed="false">
      <c r="A43" s="93" t="s">
        <v>722</v>
      </c>
      <c r="B43" s="105"/>
      <c r="C43" s="105"/>
      <c r="D43" s="105"/>
      <c r="E43" s="105"/>
      <c r="F43" s="99" t="str">
        <f aca="false">IF(E43="","",IFERROR(INDEX('Fontes e Parcerias'!$C$5:$C$500,MATCH(IFERROR(LEFT(E43,FIND(" · ",E43)-1),E43),'Fontes e Parcerias'!$A$5:$A$500,0)),"Fonte não encontrada"))</f>
        <v/>
      </c>
      <c r="G43" s="106"/>
      <c r="H43" s="105"/>
      <c r="I43" s="105"/>
      <c r="J43" s="118"/>
      <c r="K43" s="106"/>
      <c r="L43" s="106"/>
      <c r="M43" s="99" t="str">
        <f aca="false">IF(OR(K43="",L43=""),"",IF((IF(L43="Alto",3,IF(L43="Médio",2,1))-IF(K43="Alto",3,IF(K43="Médio",2,1)))=2,"⚡ Quick win",IF((IF(L43="Alto",3,IF(L43="Médio",2,1))-IF(K43="Alto",3,IF(K43="Médio",2,1)))=1,"🚀 Alto retorno",IF(AND(L43="Alto",K43="Alto"),"🎯 Estratégica",IF((IF(L43="Alto",3,IF(L43="Médio",2,1))-IF(K43="Alto",3,IF(K43="Médio",2,1)))=0,"⚖ Equilibrada","⏳ Baixo retorno")))))</f>
        <v/>
      </c>
      <c r="N43" s="105"/>
      <c r="O43" s="105"/>
      <c r="P43" s="106"/>
      <c r="Q43" s="105"/>
      <c r="R43" s="107"/>
      <c r="S43" s="105"/>
      <c r="T43" s="107"/>
      <c r="U43" s="105"/>
    </row>
    <row r="44" customFormat="false" ht="15" hidden="false" customHeight="false" outlineLevel="0" collapsed="false">
      <c r="A44" s="101" t="s">
        <v>723</v>
      </c>
      <c r="B44" s="102"/>
      <c r="C44" s="102"/>
      <c r="D44" s="102"/>
      <c r="E44" s="102"/>
      <c r="F44" s="99" t="str">
        <f aca="false">IF(E44="","",IFERROR(INDEX('Fontes e Parcerias'!$C$5:$C$500,MATCH(IFERROR(LEFT(E44,FIND(" · ",E44)-1),E44),'Fontes e Parcerias'!$A$5:$A$500,0)),"Fonte não encontrada"))</f>
        <v/>
      </c>
      <c r="G44" s="103"/>
      <c r="H44" s="102"/>
      <c r="I44" s="102"/>
      <c r="J44" s="117"/>
      <c r="K44" s="103"/>
      <c r="L44" s="103"/>
      <c r="M44" s="99" t="str">
        <f aca="false">IF(OR(K44="",L44=""),"",IF((IF(L44="Alto",3,IF(L44="Médio",2,1))-IF(K44="Alto",3,IF(K44="Médio",2,1)))=2,"⚡ Quick win",IF((IF(L44="Alto",3,IF(L44="Médio",2,1))-IF(K44="Alto",3,IF(K44="Médio",2,1)))=1,"🚀 Alto retorno",IF(AND(L44="Alto",K44="Alto"),"🎯 Estratégica",IF((IF(L44="Alto",3,IF(L44="Médio",2,1))-IF(K44="Alto",3,IF(K44="Médio",2,1)))=0,"⚖ Equilibrada","⏳ Baixo retorno")))))</f>
        <v/>
      </c>
      <c r="N44" s="102"/>
      <c r="O44" s="102"/>
      <c r="P44" s="103"/>
      <c r="Q44" s="102"/>
      <c r="R44" s="104"/>
      <c r="S44" s="102"/>
      <c r="T44" s="104"/>
      <c r="U44" s="102"/>
    </row>
    <row r="45" customFormat="false" ht="15" hidden="false" customHeight="false" outlineLevel="0" collapsed="false">
      <c r="A45" s="93" t="s">
        <v>724</v>
      </c>
      <c r="B45" s="105"/>
      <c r="C45" s="105"/>
      <c r="D45" s="105"/>
      <c r="E45" s="105"/>
      <c r="F45" s="99" t="str">
        <f aca="false">IF(E45="","",IFERROR(INDEX('Fontes e Parcerias'!$C$5:$C$500,MATCH(IFERROR(LEFT(E45,FIND(" · ",E45)-1),E45),'Fontes e Parcerias'!$A$5:$A$500,0)),"Fonte não encontrada"))</f>
        <v/>
      </c>
      <c r="G45" s="106"/>
      <c r="H45" s="105"/>
      <c r="I45" s="105"/>
      <c r="J45" s="118"/>
      <c r="K45" s="106"/>
      <c r="L45" s="106"/>
      <c r="M45" s="99" t="str">
        <f aca="false">IF(OR(K45="",L45=""),"",IF((IF(L45="Alto",3,IF(L45="Médio",2,1))-IF(K45="Alto",3,IF(K45="Médio",2,1)))=2,"⚡ Quick win",IF((IF(L45="Alto",3,IF(L45="Médio",2,1))-IF(K45="Alto",3,IF(K45="Médio",2,1)))=1,"🚀 Alto retorno",IF(AND(L45="Alto",K45="Alto"),"🎯 Estratégica",IF((IF(L45="Alto",3,IF(L45="Médio",2,1))-IF(K45="Alto",3,IF(K45="Médio",2,1)))=0,"⚖ Equilibrada","⏳ Baixo retorno")))))</f>
        <v/>
      </c>
      <c r="N45" s="105"/>
      <c r="O45" s="105"/>
      <c r="P45" s="106"/>
      <c r="Q45" s="105"/>
      <c r="R45" s="107"/>
      <c r="S45" s="105"/>
      <c r="T45" s="107"/>
      <c r="U45" s="105"/>
    </row>
    <row r="46" customFormat="false" ht="15" hidden="false" customHeight="false" outlineLevel="0" collapsed="false">
      <c r="A46" s="101" t="s">
        <v>725</v>
      </c>
      <c r="B46" s="102"/>
      <c r="C46" s="102"/>
      <c r="D46" s="102"/>
      <c r="E46" s="102"/>
      <c r="F46" s="99" t="str">
        <f aca="false">IF(E46="","",IFERROR(INDEX('Fontes e Parcerias'!$C$5:$C$500,MATCH(IFERROR(LEFT(E46,FIND(" · ",E46)-1),E46),'Fontes e Parcerias'!$A$5:$A$500,0)),"Fonte não encontrada"))</f>
        <v/>
      </c>
      <c r="G46" s="103"/>
      <c r="H46" s="102"/>
      <c r="I46" s="102"/>
      <c r="J46" s="117"/>
      <c r="K46" s="103"/>
      <c r="L46" s="103"/>
      <c r="M46" s="99" t="str">
        <f aca="false">IF(OR(K46="",L46=""),"",IF((IF(L46="Alto",3,IF(L46="Médio",2,1))-IF(K46="Alto",3,IF(K46="Médio",2,1)))=2,"⚡ Quick win",IF((IF(L46="Alto",3,IF(L46="Médio",2,1))-IF(K46="Alto",3,IF(K46="Médio",2,1)))=1,"🚀 Alto retorno",IF(AND(L46="Alto",K46="Alto"),"🎯 Estratégica",IF((IF(L46="Alto",3,IF(L46="Médio",2,1))-IF(K46="Alto",3,IF(K46="Médio",2,1)))=0,"⚖ Equilibrada","⏳ Baixo retorno")))))</f>
        <v/>
      </c>
      <c r="N46" s="102"/>
      <c r="O46" s="102"/>
      <c r="P46" s="103"/>
      <c r="Q46" s="102"/>
      <c r="R46" s="104"/>
      <c r="S46" s="102"/>
      <c r="T46" s="104"/>
      <c r="U46" s="102"/>
    </row>
    <row r="47" customFormat="false" ht="15" hidden="false" customHeight="false" outlineLevel="0" collapsed="false">
      <c r="A47" s="93" t="s">
        <v>726</v>
      </c>
      <c r="B47" s="105"/>
      <c r="C47" s="105"/>
      <c r="D47" s="105"/>
      <c r="E47" s="105"/>
      <c r="F47" s="99" t="str">
        <f aca="false">IF(E47="","",IFERROR(INDEX('Fontes e Parcerias'!$C$5:$C$500,MATCH(IFERROR(LEFT(E47,FIND(" · ",E47)-1),E47),'Fontes e Parcerias'!$A$5:$A$500,0)),"Fonte não encontrada"))</f>
        <v/>
      </c>
      <c r="G47" s="106"/>
      <c r="H47" s="105"/>
      <c r="I47" s="105"/>
      <c r="J47" s="118"/>
      <c r="K47" s="106"/>
      <c r="L47" s="106"/>
      <c r="M47" s="99" t="str">
        <f aca="false">IF(OR(K47="",L47=""),"",IF((IF(L47="Alto",3,IF(L47="Médio",2,1))-IF(K47="Alto",3,IF(K47="Médio",2,1)))=2,"⚡ Quick win",IF((IF(L47="Alto",3,IF(L47="Médio",2,1))-IF(K47="Alto",3,IF(K47="Médio",2,1)))=1,"🚀 Alto retorno",IF(AND(L47="Alto",K47="Alto"),"🎯 Estratégica",IF((IF(L47="Alto",3,IF(L47="Médio",2,1))-IF(K47="Alto",3,IF(K47="Médio",2,1)))=0,"⚖ Equilibrada","⏳ Baixo retorno")))))</f>
        <v/>
      </c>
      <c r="N47" s="105"/>
      <c r="O47" s="105"/>
      <c r="P47" s="106"/>
      <c r="Q47" s="105"/>
      <c r="R47" s="107"/>
      <c r="S47" s="105"/>
      <c r="T47" s="107"/>
      <c r="U47" s="105"/>
    </row>
    <row r="48" customFormat="false" ht="15" hidden="false" customHeight="false" outlineLevel="0" collapsed="false">
      <c r="A48" s="101" t="s">
        <v>727</v>
      </c>
      <c r="B48" s="102"/>
      <c r="C48" s="102"/>
      <c r="D48" s="102"/>
      <c r="E48" s="102"/>
      <c r="F48" s="99" t="str">
        <f aca="false">IF(E48="","",IFERROR(INDEX('Fontes e Parcerias'!$C$5:$C$500,MATCH(IFERROR(LEFT(E48,FIND(" · ",E48)-1),E48),'Fontes e Parcerias'!$A$5:$A$500,0)),"Fonte não encontrada"))</f>
        <v/>
      </c>
      <c r="G48" s="103"/>
      <c r="H48" s="102"/>
      <c r="I48" s="102"/>
      <c r="J48" s="117"/>
      <c r="K48" s="103"/>
      <c r="L48" s="103"/>
      <c r="M48" s="99" t="str">
        <f aca="false">IF(OR(K48="",L48=""),"",IF((IF(L48="Alto",3,IF(L48="Médio",2,1))-IF(K48="Alto",3,IF(K48="Médio",2,1)))=2,"⚡ Quick win",IF((IF(L48="Alto",3,IF(L48="Médio",2,1))-IF(K48="Alto",3,IF(K48="Médio",2,1)))=1,"🚀 Alto retorno",IF(AND(L48="Alto",K48="Alto"),"🎯 Estratégica",IF((IF(L48="Alto",3,IF(L48="Médio",2,1))-IF(K48="Alto",3,IF(K48="Médio",2,1)))=0,"⚖ Equilibrada","⏳ Baixo retorno")))))</f>
        <v/>
      </c>
      <c r="N48" s="102"/>
      <c r="O48" s="102"/>
      <c r="P48" s="103"/>
      <c r="Q48" s="102"/>
      <c r="R48" s="104"/>
      <c r="S48" s="102"/>
      <c r="T48" s="104"/>
      <c r="U48" s="102"/>
    </row>
    <row r="49" customFormat="false" ht="15" hidden="false" customHeight="false" outlineLevel="0" collapsed="false">
      <c r="A49" s="93" t="s">
        <v>728</v>
      </c>
      <c r="B49" s="105"/>
      <c r="C49" s="105"/>
      <c r="D49" s="105"/>
      <c r="E49" s="105"/>
      <c r="F49" s="99" t="str">
        <f aca="false">IF(E49="","",IFERROR(INDEX('Fontes e Parcerias'!$C$5:$C$500,MATCH(IFERROR(LEFT(E49,FIND(" · ",E49)-1),E49),'Fontes e Parcerias'!$A$5:$A$500,0)),"Fonte não encontrada"))</f>
        <v/>
      </c>
      <c r="G49" s="106"/>
      <c r="H49" s="105"/>
      <c r="I49" s="105"/>
      <c r="J49" s="118"/>
      <c r="K49" s="106"/>
      <c r="L49" s="106"/>
      <c r="M49" s="99" t="str">
        <f aca="false">IF(OR(K49="",L49=""),"",IF((IF(L49="Alto",3,IF(L49="Médio",2,1))-IF(K49="Alto",3,IF(K49="Médio",2,1)))=2,"⚡ Quick win",IF((IF(L49="Alto",3,IF(L49="Médio",2,1))-IF(K49="Alto",3,IF(K49="Médio",2,1)))=1,"🚀 Alto retorno",IF(AND(L49="Alto",K49="Alto"),"🎯 Estratégica",IF((IF(L49="Alto",3,IF(L49="Médio",2,1))-IF(K49="Alto",3,IF(K49="Médio",2,1)))=0,"⚖ Equilibrada","⏳ Baixo retorno")))))</f>
        <v/>
      </c>
      <c r="N49" s="105"/>
      <c r="O49" s="105"/>
      <c r="P49" s="106"/>
      <c r="Q49" s="105"/>
      <c r="R49" s="107"/>
      <c r="S49" s="105"/>
      <c r="T49" s="107"/>
      <c r="U49" s="105"/>
    </row>
    <row r="50" customFormat="false" ht="15" hidden="false" customHeight="false" outlineLevel="0" collapsed="false">
      <c r="A50" s="101" t="s">
        <v>729</v>
      </c>
      <c r="B50" s="102"/>
      <c r="C50" s="102"/>
      <c r="D50" s="102"/>
      <c r="E50" s="102"/>
      <c r="F50" s="99" t="str">
        <f aca="false">IF(E50="","",IFERROR(INDEX('Fontes e Parcerias'!$C$5:$C$500,MATCH(IFERROR(LEFT(E50,FIND(" · ",E50)-1),E50),'Fontes e Parcerias'!$A$5:$A$500,0)),"Fonte não encontrada"))</f>
        <v/>
      </c>
      <c r="G50" s="103"/>
      <c r="H50" s="102"/>
      <c r="I50" s="102"/>
      <c r="J50" s="117"/>
      <c r="K50" s="103"/>
      <c r="L50" s="103"/>
      <c r="M50" s="99" t="str">
        <f aca="false">IF(OR(K50="",L50=""),"",IF((IF(L50="Alto",3,IF(L50="Médio",2,1))-IF(K50="Alto",3,IF(K50="Médio",2,1)))=2,"⚡ Quick win",IF((IF(L50="Alto",3,IF(L50="Médio",2,1))-IF(K50="Alto",3,IF(K50="Médio",2,1)))=1,"🚀 Alto retorno",IF(AND(L50="Alto",K50="Alto"),"🎯 Estratégica",IF((IF(L50="Alto",3,IF(L50="Médio",2,1))-IF(K50="Alto",3,IF(K50="Médio",2,1)))=0,"⚖ Equilibrada","⏳ Baixo retorno")))))</f>
        <v/>
      </c>
      <c r="N50" s="102"/>
      <c r="O50" s="102"/>
      <c r="P50" s="103"/>
      <c r="Q50" s="102"/>
      <c r="R50" s="104"/>
      <c r="S50" s="102"/>
      <c r="T50" s="104"/>
      <c r="U50" s="102"/>
    </row>
    <row r="51" customFormat="false" ht="15" hidden="false" customHeight="false" outlineLevel="0" collapsed="false">
      <c r="A51" s="93" t="s">
        <v>730</v>
      </c>
      <c r="B51" s="105"/>
      <c r="C51" s="105"/>
      <c r="D51" s="105"/>
      <c r="E51" s="105"/>
      <c r="F51" s="99" t="str">
        <f aca="false">IF(E51="","",IFERROR(INDEX('Fontes e Parcerias'!$C$5:$C$500,MATCH(IFERROR(LEFT(E51,FIND(" · ",E51)-1),E51),'Fontes e Parcerias'!$A$5:$A$500,0)),"Fonte não encontrada"))</f>
        <v/>
      </c>
      <c r="G51" s="106"/>
      <c r="H51" s="105"/>
      <c r="I51" s="105"/>
      <c r="J51" s="118"/>
      <c r="K51" s="106"/>
      <c r="L51" s="106"/>
      <c r="M51" s="99" t="str">
        <f aca="false">IF(OR(K51="",L51=""),"",IF((IF(L51="Alto",3,IF(L51="Médio",2,1))-IF(K51="Alto",3,IF(K51="Médio",2,1)))=2,"⚡ Quick win",IF((IF(L51="Alto",3,IF(L51="Médio",2,1))-IF(K51="Alto",3,IF(K51="Médio",2,1)))=1,"🚀 Alto retorno",IF(AND(L51="Alto",K51="Alto"),"🎯 Estratégica",IF((IF(L51="Alto",3,IF(L51="Médio",2,1))-IF(K51="Alto",3,IF(K51="Médio",2,1)))=0,"⚖ Equilibrada","⏳ Baixo retorno")))))</f>
        <v/>
      </c>
      <c r="N51" s="105"/>
      <c r="O51" s="105"/>
      <c r="P51" s="106"/>
      <c r="Q51" s="105"/>
      <c r="R51" s="107"/>
      <c r="S51" s="105"/>
      <c r="T51" s="107"/>
      <c r="U51" s="105"/>
    </row>
    <row r="52" customFormat="false" ht="15" hidden="false" customHeight="false" outlineLevel="0" collapsed="false">
      <c r="A52" s="101" t="s">
        <v>731</v>
      </c>
      <c r="B52" s="102"/>
      <c r="C52" s="102"/>
      <c r="D52" s="102"/>
      <c r="E52" s="102"/>
      <c r="F52" s="99" t="str">
        <f aca="false">IF(E52="","",IFERROR(INDEX('Fontes e Parcerias'!$C$5:$C$500,MATCH(IFERROR(LEFT(E52,FIND(" · ",E52)-1),E52),'Fontes e Parcerias'!$A$5:$A$500,0)),"Fonte não encontrada"))</f>
        <v/>
      </c>
      <c r="G52" s="103"/>
      <c r="H52" s="102"/>
      <c r="I52" s="102"/>
      <c r="J52" s="117"/>
      <c r="K52" s="103"/>
      <c r="L52" s="103"/>
      <c r="M52" s="99" t="str">
        <f aca="false">IF(OR(K52="",L52=""),"",IF((IF(L52="Alto",3,IF(L52="Médio",2,1))-IF(K52="Alto",3,IF(K52="Médio",2,1)))=2,"⚡ Quick win",IF((IF(L52="Alto",3,IF(L52="Médio",2,1))-IF(K52="Alto",3,IF(K52="Médio",2,1)))=1,"🚀 Alto retorno",IF(AND(L52="Alto",K52="Alto"),"🎯 Estratégica",IF((IF(L52="Alto",3,IF(L52="Médio",2,1))-IF(K52="Alto",3,IF(K52="Médio",2,1)))=0,"⚖ Equilibrada","⏳ Baixo retorno")))))</f>
        <v/>
      </c>
      <c r="N52" s="102"/>
      <c r="O52" s="102"/>
      <c r="P52" s="103"/>
      <c r="Q52" s="102"/>
      <c r="R52" s="104"/>
      <c r="S52" s="102"/>
      <c r="T52" s="104"/>
      <c r="U52" s="102"/>
    </row>
    <row r="53" customFormat="false" ht="15" hidden="false" customHeight="false" outlineLevel="0" collapsed="false">
      <c r="A53" s="93" t="s">
        <v>732</v>
      </c>
      <c r="B53" s="105"/>
      <c r="C53" s="105"/>
      <c r="D53" s="105"/>
      <c r="E53" s="105"/>
      <c r="F53" s="99" t="str">
        <f aca="false">IF(E53="","",IFERROR(INDEX('Fontes e Parcerias'!$C$5:$C$500,MATCH(IFERROR(LEFT(E53,FIND(" · ",E53)-1),E53),'Fontes e Parcerias'!$A$5:$A$500,0)),"Fonte não encontrada"))</f>
        <v/>
      </c>
      <c r="G53" s="106"/>
      <c r="H53" s="105"/>
      <c r="I53" s="105"/>
      <c r="J53" s="118"/>
      <c r="K53" s="106"/>
      <c r="L53" s="106"/>
      <c r="M53" s="99" t="str">
        <f aca="false">IF(OR(K53="",L53=""),"",IF((IF(L53="Alto",3,IF(L53="Médio",2,1))-IF(K53="Alto",3,IF(K53="Médio",2,1)))=2,"⚡ Quick win",IF((IF(L53="Alto",3,IF(L53="Médio",2,1))-IF(K53="Alto",3,IF(K53="Médio",2,1)))=1,"🚀 Alto retorno",IF(AND(L53="Alto",K53="Alto"),"🎯 Estratégica",IF((IF(L53="Alto",3,IF(L53="Médio",2,1))-IF(K53="Alto",3,IF(K53="Médio",2,1)))=0,"⚖ Equilibrada","⏳ Baixo retorno")))))</f>
        <v/>
      </c>
      <c r="N53" s="105"/>
      <c r="O53" s="105"/>
      <c r="P53" s="106"/>
      <c r="Q53" s="105"/>
      <c r="R53" s="107"/>
      <c r="S53" s="105"/>
      <c r="T53" s="107"/>
      <c r="U53" s="105"/>
    </row>
    <row r="54" customFormat="false" ht="15" hidden="false" customHeight="false" outlineLevel="0" collapsed="false">
      <c r="A54" s="101" t="s">
        <v>733</v>
      </c>
      <c r="B54" s="102"/>
      <c r="C54" s="102"/>
      <c r="D54" s="102"/>
      <c r="E54" s="102"/>
      <c r="F54" s="99" t="str">
        <f aca="false">IF(E54="","",IFERROR(INDEX('Fontes e Parcerias'!$C$5:$C$500,MATCH(IFERROR(LEFT(E54,FIND(" · ",E54)-1),E54),'Fontes e Parcerias'!$A$5:$A$500,0)),"Fonte não encontrada"))</f>
        <v/>
      </c>
      <c r="G54" s="103"/>
      <c r="H54" s="102"/>
      <c r="I54" s="102"/>
      <c r="J54" s="117"/>
      <c r="K54" s="103"/>
      <c r="L54" s="103"/>
      <c r="M54" s="99" t="str">
        <f aca="false">IF(OR(K54="",L54=""),"",IF((IF(L54="Alto",3,IF(L54="Médio",2,1))-IF(K54="Alto",3,IF(K54="Médio",2,1)))=2,"⚡ Quick win",IF((IF(L54="Alto",3,IF(L54="Médio",2,1))-IF(K54="Alto",3,IF(K54="Médio",2,1)))=1,"🚀 Alto retorno",IF(AND(L54="Alto",K54="Alto"),"🎯 Estratégica",IF((IF(L54="Alto",3,IF(L54="Médio",2,1))-IF(K54="Alto",3,IF(K54="Médio",2,1)))=0,"⚖ Equilibrada","⏳ Baixo retorno")))))</f>
        <v/>
      </c>
      <c r="N54" s="102"/>
      <c r="O54" s="102"/>
      <c r="P54" s="103"/>
      <c r="Q54" s="102"/>
      <c r="R54" s="104"/>
      <c r="S54" s="102"/>
      <c r="T54" s="104"/>
      <c r="U54" s="102"/>
    </row>
    <row r="55" customFormat="false" ht="15" hidden="false" customHeight="false" outlineLevel="0" collapsed="false">
      <c r="A55" s="93" t="s">
        <v>734</v>
      </c>
      <c r="B55" s="105"/>
      <c r="C55" s="105"/>
      <c r="D55" s="105"/>
      <c r="E55" s="105"/>
      <c r="F55" s="99" t="str">
        <f aca="false">IF(E55="","",IFERROR(INDEX('Fontes e Parcerias'!$C$5:$C$500,MATCH(IFERROR(LEFT(E55,FIND(" · ",E55)-1),E55),'Fontes e Parcerias'!$A$5:$A$500,0)),"Fonte não encontrada"))</f>
        <v/>
      </c>
      <c r="G55" s="106"/>
      <c r="H55" s="105"/>
      <c r="I55" s="105"/>
      <c r="J55" s="118"/>
      <c r="K55" s="106"/>
      <c r="L55" s="106"/>
      <c r="M55" s="99" t="str">
        <f aca="false">IF(OR(K55="",L55=""),"",IF((IF(L55="Alto",3,IF(L55="Médio",2,1))-IF(K55="Alto",3,IF(K55="Médio",2,1)))=2,"⚡ Quick win",IF((IF(L55="Alto",3,IF(L55="Médio",2,1))-IF(K55="Alto",3,IF(K55="Médio",2,1)))=1,"🚀 Alto retorno",IF(AND(L55="Alto",K55="Alto"),"🎯 Estratégica",IF((IF(L55="Alto",3,IF(L55="Médio",2,1))-IF(K55="Alto",3,IF(K55="Médio",2,1)))=0,"⚖ Equilibrada","⏳ Baixo retorno")))))</f>
        <v/>
      </c>
      <c r="N55" s="105"/>
      <c r="O55" s="105"/>
      <c r="P55" s="106"/>
      <c r="Q55" s="105"/>
      <c r="R55" s="107"/>
      <c r="S55" s="105"/>
      <c r="T55" s="107"/>
      <c r="U55" s="105"/>
    </row>
    <row r="56" customFormat="false" ht="15" hidden="false" customHeight="false" outlineLevel="0" collapsed="false">
      <c r="A56" s="101" t="s">
        <v>735</v>
      </c>
      <c r="B56" s="102"/>
      <c r="C56" s="102"/>
      <c r="D56" s="102"/>
      <c r="E56" s="102"/>
      <c r="F56" s="99" t="str">
        <f aca="false">IF(E56="","",IFERROR(INDEX('Fontes e Parcerias'!$C$5:$C$500,MATCH(IFERROR(LEFT(E56,FIND(" · ",E56)-1),E56),'Fontes e Parcerias'!$A$5:$A$500,0)),"Fonte não encontrada"))</f>
        <v/>
      </c>
      <c r="G56" s="103"/>
      <c r="H56" s="102"/>
      <c r="I56" s="102"/>
      <c r="J56" s="117"/>
      <c r="K56" s="103"/>
      <c r="L56" s="103"/>
      <c r="M56" s="99" t="str">
        <f aca="false">IF(OR(K56="",L56=""),"",IF((IF(L56="Alto",3,IF(L56="Médio",2,1))-IF(K56="Alto",3,IF(K56="Médio",2,1)))=2,"⚡ Quick win",IF((IF(L56="Alto",3,IF(L56="Médio",2,1))-IF(K56="Alto",3,IF(K56="Médio",2,1)))=1,"🚀 Alto retorno",IF(AND(L56="Alto",K56="Alto"),"🎯 Estratégica",IF((IF(L56="Alto",3,IF(L56="Médio",2,1))-IF(K56="Alto",3,IF(K56="Médio",2,1)))=0,"⚖ Equilibrada","⏳ Baixo retorno")))))</f>
        <v/>
      </c>
      <c r="N56" s="102"/>
      <c r="O56" s="102"/>
      <c r="P56" s="103"/>
      <c r="Q56" s="102"/>
      <c r="R56" s="104"/>
      <c r="S56" s="102"/>
      <c r="T56" s="104"/>
      <c r="U56" s="102"/>
    </row>
    <row r="57" customFormat="false" ht="15" hidden="false" customHeight="false" outlineLevel="0" collapsed="false">
      <c r="A57" s="93" t="s">
        <v>736</v>
      </c>
      <c r="B57" s="105"/>
      <c r="C57" s="105"/>
      <c r="D57" s="105"/>
      <c r="E57" s="105"/>
      <c r="F57" s="99" t="str">
        <f aca="false">IF(E57="","",IFERROR(INDEX('Fontes e Parcerias'!$C$5:$C$500,MATCH(IFERROR(LEFT(E57,FIND(" · ",E57)-1),E57),'Fontes e Parcerias'!$A$5:$A$500,0)),"Fonte não encontrada"))</f>
        <v/>
      </c>
      <c r="G57" s="106"/>
      <c r="H57" s="105"/>
      <c r="I57" s="105"/>
      <c r="J57" s="118"/>
      <c r="K57" s="106"/>
      <c r="L57" s="106"/>
      <c r="M57" s="99" t="str">
        <f aca="false">IF(OR(K57="",L57=""),"",IF((IF(L57="Alto",3,IF(L57="Médio",2,1))-IF(K57="Alto",3,IF(K57="Médio",2,1)))=2,"⚡ Quick win",IF((IF(L57="Alto",3,IF(L57="Médio",2,1))-IF(K57="Alto",3,IF(K57="Médio",2,1)))=1,"🚀 Alto retorno",IF(AND(L57="Alto",K57="Alto"),"🎯 Estratégica",IF((IF(L57="Alto",3,IF(L57="Médio",2,1))-IF(K57="Alto",3,IF(K57="Médio",2,1)))=0,"⚖ Equilibrada","⏳ Baixo retorno")))))</f>
        <v/>
      </c>
      <c r="N57" s="105"/>
      <c r="O57" s="105"/>
      <c r="P57" s="106"/>
      <c r="Q57" s="105"/>
      <c r="R57" s="107"/>
      <c r="S57" s="105"/>
      <c r="T57" s="107"/>
      <c r="U57" s="105"/>
    </row>
    <row r="58" customFormat="false" ht="15" hidden="false" customHeight="false" outlineLevel="0" collapsed="false">
      <c r="A58" s="101" t="s">
        <v>737</v>
      </c>
      <c r="B58" s="102"/>
      <c r="C58" s="102"/>
      <c r="D58" s="102"/>
      <c r="E58" s="102"/>
      <c r="F58" s="99" t="str">
        <f aca="false">IF(E58="","",IFERROR(INDEX('Fontes e Parcerias'!$C$5:$C$500,MATCH(IFERROR(LEFT(E58,FIND(" · ",E58)-1),E58),'Fontes e Parcerias'!$A$5:$A$500,0)),"Fonte não encontrada"))</f>
        <v/>
      </c>
      <c r="G58" s="103"/>
      <c r="H58" s="102"/>
      <c r="I58" s="102"/>
      <c r="J58" s="117"/>
      <c r="K58" s="103"/>
      <c r="L58" s="103"/>
      <c r="M58" s="99" t="str">
        <f aca="false">IF(OR(K58="",L58=""),"",IF((IF(L58="Alto",3,IF(L58="Médio",2,1))-IF(K58="Alto",3,IF(K58="Médio",2,1)))=2,"⚡ Quick win",IF((IF(L58="Alto",3,IF(L58="Médio",2,1))-IF(K58="Alto",3,IF(K58="Médio",2,1)))=1,"🚀 Alto retorno",IF(AND(L58="Alto",K58="Alto"),"🎯 Estratégica",IF((IF(L58="Alto",3,IF(L58="Médio",2,1))-IF(K58="Alto",3,IF(K58="Médio",2,1)))=0,"⚖ Equilibrada","⏳ Baixo retorno")))))</f>
        <v/>
      </c>
      <c r="N58" s="102"/>
      <c r="O58" s="102"/>
      <c r="P58" s="103"/>
      <c r="Q58" s="102"/>
      <c r="R58" s="104"/>
      <c r="S58" s="102"/>
      <c r="T58" s="104"/>
      <c r="U58" s="102"/>
    </row>
    <row r="59" customFormat="false" ht="15" hidden="false" customHeight="false" outlineLevel="0" collapsed="false">
      <c r="A59" s="93" t="s">
        <v>738</v>
      </c>
      <c r="B59" s="105"/>
      <c r="C59" s="105"/>
      <c r="D59" s="105"/>
      <c r="E59" s="105"/>
      <c r="F59" s="99" t="str">
        <f aca="false">IF(E59="","",IFERROR(INDEX('Fontes e Parcerias'!$C$5:$C$500,MATCH(IFERROR(LEFT(E59,FIND(" · ",E59)-1),E59),'Fontes e Parcerias'!$A$5:$A$500,0)),"Fonte não encontrada"))</f>
        <v/>
      </c>
      <c r="G59" s="106"/>
      <c r="H59" s="105"/>
      <c r="I59" s="105"/>
      <c r="J59" s="118"/>
      <c r="K59" s="106"/>
      <c r="L59" s="106"/>
      <c r="M59" s="99" t="str">
        <f aca="false">IF(OR(K59="",L59=""),"",IF((IF(L59="Alto",3,IF(L59="Médio",2,1))-IF(K59="Alto",3,IF(K59="Médio",2,1)))=2,"⚡ Quick win",IF((IF(L59="Alto",3,IF(L59="Médio",2,1))-IF(K59="Alto",3,IF(K59="Médio",2,1)))=1,"🚀 Alto retorno",IF(AND(L59="Alto",K59="Alto"),"🎯 Estratégica",IF((IF(L59="Alto",3,IF(L59="Médio",2,1))-IF(K59="Alto",3,IF(K59="Médio",2,1)))=0,"⚖ Equilibrada","⏳ Baixo retorno")))))</f>
        <v/>
      </c>
      <c r="N59" s="105"/>
      <c r="O59" s="105"/>
      <c r="P59" s="106"/>
      <c r="Q59" s="105"/>
      <c r="R59" s="107"/>
      <c r="S59" s="105"/>
      <c r="T59" s="107"/>
      <c r="U59" s="105"/>
    </row>
    <row r="60" customFormat="false" ht="15" hidden="false" customHeight="false" outlineLevel="0" collapsed="false">
      <c r="A60" s="101" t="s">
        <v>739</v>
      </c>
      <c r="B60" s="102"/>
      <c r="C60" s="102"/>
      <c r="D60" s="102"/>
      <c r="E60" s="102"/>
      <c r="F60" s="99" t="str">
        <f aca="false">IF(E60="","",IFERROR(INDEX('Fontes e Parcerias'!$C$5:$C$500,MATCH(IFERROR(LEFT(E60,FIND(" · ",E60)-1),E60),'Fontes e Parcerias'!$A$5:$A$500,0)),"Fonte não encontrada"))</f>
        <v/>
      </c>
      <c r="G60" s="103"/>
      <c r="H60" s="102"/>
      <c r="I60" s="102"/>
      <c r="J60" s="117"/>
      <c r="K60" s="103"/>
      <c r="L60" s="103"/>
      <c r="M60" s="99" t="str">
        <f aca="false">IF(OR(K60="",L60=""),"",IF((IF(L60="Alto",3,IF(L60="Médio",2,1))-IF(K60="Alto",3,IF(K60="Médio",2,1)))=2,"⚡ Quick win",IF((IF(L60="Alto",3,IF(L60="Médio",2,1))-IF(K60="Alto",3,IF(K60="Médio",2,1)))=1,"🚀 Alto retorno",IF(AND(L60="Alto",K60="Alto"),"🎯 Estratégica",IF((IF(L60="Alto",3,IF(L60="Médio",2,1))-IF(K60="Alto",3,IF(K60="Médio",2,1)))=0,"⚖ Equilibrada","⏳ Baixo retorno")))))</f>
        <v/>
      </c>
      <c r="N60" s="102"/>
      <c r="O60" s="102"/>
      <c r="P60" s="103"/>
      <c r="Q60" s="102"/>
      <c r="R60" s="104"/>
      <c r="S60" s="102"/>
      <c r="T60" s="104"/>
      <c r="U60" s="102"/>
    </row>
    <row r="61" customFormat="false" ht="15" hidden="false" customHeight="false" outlineLevel="0" collapsed="false">
      <c r="A61" s="93" t="s">
        <v>740</v>
      </c>
      <c r="B61" s="105"/>
      <c r="C61" s="105"/>
      <c r="D61" s="105"/>
      <c r="E61" s="105"/>
      <c r="F61" s="99" t="str">
        <f aca="false">IF(E61="","",IFERROR(INDEX('Fontes e Parcerias'!$C$5:$C$500,MATCH(IFERROR(LEFT(E61,FIND(" · ",E61)-1),E61),'Fontes e Parcerias'!$A$5:$A$500,0)),"Fonte não encontrada"))</f>
        <v/>
      </c>
      <c r="G61" s="106"/>
      <c r="H61" s="105"/>
      <c r="I61" s="105"/>
      <c r="J61" s="118"/>
      <c r="K61" s="106"/>
      <c r="L61" s="106"/>
      <c r="M61" s="99" t="str">
        <f aca="false">IF(OR(K61="",L61=""),"",IF((IF(L61="Alto",3,IF(L61="Médio",2,1))-IF(K61="Alto",3,IF(K61="Médio",2,1)))=2,"⚡ Quick win",IF((IF(L61="Alto",3,IF(L61="Médio",2,1))-IF(K61="Alto",3,IF(K61="Médio",2,1)))=1,"🚀 Alto retorno",IF(AND(L61="Alto",K61="Alto"),"🎯 Estratégica",IF((IF(L61="Alto",3,IF(L61="Médio",2,1))-IF(K61="Alto",3,IF(K61="Médio",2,1)))=0,"⚖ Equilibrada","⏳ Baixo retorno")))))</f>
        <v/>
      </c>
      <c r="N61" s="105"/>
      <c r="O61" s="105"/>
      <c r="P61" s="106"/>
      <c r="Q61" s="105"/>
      <c r="R61" s="107"/>
      <c r="S61" s="105"/>
      <c r="T61" s="107"/>
      <c r="U61" s="105"/>
    </row>
    <row r="62" customFormat="false" ht="15" hidden="false" customHeight="false" outlineLevel="0" collapsed="false">
      <c r="A62" s="101" t="s">
        <v>741</v>
      </c>
      <c r="B62" s="102"/>
      <c r="C62" s="102"/>
      <c r="D62" s="102"/>
      <c r="E62" s="102"/>
      <c r="F62" s="99" t="str">
        <f aca="false">IF(E62="","",IFERROR(INDEX('Fontes e Parcerias'!$C$5:$C$500,MATCH(IFERROR(LEFT(E62,FIND(" · ",E62)-1),E62),'Fontes e Parcerias'!$A$5:$A$500,0)),"Fonte não encontrada"))</f>
        <v/>
      </c>
      <c r="G62" s="103"/>
      <c r="H62" s="102"/>
      <c r="I62" s="102"/>
      <c r="J62" s="117"/>
      <c r="K62" s="103"/>
      <c r="L62" s="103"/>
      <c r="M62" s="99" t="str">
        <f aca="false">IF(OR(K62="",L62=""),"",IF((IF(L62="Alto",3,IF(L62="Médio",2,1))-IF(K62="Alto",3,IF(K62="Médio",2,1)))=2,"⚡ Quick win",IF((IF(L62="Alto",3,IF(L62="Médio",2,1))-IF(K62="Alto",3,IF(K62="Médio",2,1)))=1,"🚀 Alto retorno",IF(AND(L62="Alto",K62="Alto"),"🎯 Estratégica",IF((IF(L62="Alto",3,IF(L62="Médio",2,1))-IF(K62="Alto",3,IF(K62="Médio",2,1)))=0,"⚖ Equilibrada","⏳ Baixo retorno")))))</f>
        <v/>
      </c>
      <c r="N62" s="102"/>
      <c r="O62" s="102"/>
      <c r="P62" s="103"/>
      <c r="Q62" s="102"/>
      <c r="R62" s="104"/>
      <c r="S62" s="102"/>
      <c r="T62" s="104"/>
      <c r="U62" s="102"/>
    </row>
    <row r="63" customFormat="false" ht="15" hidden="false" customHeight="false" outlineLevel="0" collapsed="false">
      <c r="A63" s="93" t="s">
        <v>742</v>
      </c>
      <c r="B63" s="105"/>
      <c r="C63" s="105"/>
      <c r="D63" s="105"/>
      <c r="E63" s="105"/>
      <c r="F63" s="99" t="str">
        <f aca="false">IF(E63="","",IFERROR(INDEX('Fontes e Parcerias'!$C$5:$C$500,MATCH(IFERROR(LEFT(E63,FIND(" · ",E63)-1),E63),'Fontes e Parcerias'!$A$5:$A$500,0)),"Fonte não encontrada"))</f>
        <v/>
      </c>
      <c r="G63" s="106"/>
      <c r="H63" s="105"/>
      <c r="I63" s="105"/>
      <c r="J63" s="118"/>
      <c r="K63" s="106"/>
      <c r="L63" s="106"/>
      <c r="M63" s="99" t="str">
        <f aca="false">IF(OR(K63="",L63=""),"",IF((IF(L63="Alto",3,IF(L63="Médio",2,1))-IF(K63="Alto",3,IF(K63="Médio",2,1)))=2,"⚡ Quick win",IF((IF(L63="Alto",3,IF(L63="Médio",2,1))-IF(K63="Alto",3,IF(K63="Médio",2,1)))=1,"🚀 Alto retorno",IF(AND(L63="Alto",K63="Alto"),"🎯 Estratégica",IF((IF(L63="Alto",3,IF(L63="Médio",2,1))-IF(K63="Alto",3,IF(K63="Médio",2,1)))=0,"⚖ Equilibrada","⏳ Baixo retorno")))))</f>
        <v/>
      </c>
      <c r="N63" s="105"/>
      <c r="O63" s="105"/>
      <c r="P63" s="106"/>
      <c r="Q63" s="105"/>
      <c r="R63" s="107"/>
      <c r="S63" s="105"/>
      <c r="T63" s="107"/>
      <c r="U63" s="105"/>
    </row>
    <row r="64" customFormat="false" ht="15" hidden="false" customHeight="false" outlineLevel="0" collapsed="false">
      <c r="A64" s="101" t="s">
        <v>743</v>
      </c>
      <c r="B64" s="102"/>
      <c r="C64" s="102"/>
      <c r="D64" s="102"/>
      <c r="E64" s="102"/>
      <c r="F64" s="99" t="str">
        <f aca="false">IF(E64="","",IFERROR(INDEX('Fontes e Parcerias'!$C$5:$C$500,MATCH(IFERROR(LEFT(E64,FIND(" · ",E64)-1),E64),'Fontes e Parcerias'!$A$5:$A$500,0)),"Fonte não encontrada"))</f>
        <v/>
      </c>
      <c r="G64" s="103"/>
      <c r="H64" s="102"/>
      <c r="I64" s="102"/>
      <c r="J64" s="117"/>
      <c r="K64" s="103"/>
      <c r="L64" s="103"/>
      <c r="M64" s="99" t="str">
        <f aca="false">IF(OR(K64="",L64=""),"",IF((IF(L64="Alto",3,IF(L64="Médio",2,1))-IF(K64="Alto",3,IF(K64="Médio",2,1)))=2,"⚡ Quick win",IF((IF(L64="Alto",3,IF(L64="Médio",2,1))-IF(K64="Alto",3,IF(K64="Médio",2,1)))=1,"🚀 Alto retorno",IF(AND(L64="Alto",K64="Alto"),"🎯 Estratégica",IF((IF(L64="Alto",3,IF(L64="Médio",2,1))-IF(K64="Alto",3,IF(K64="Médio",2,1)))=0,"⚖ Equilibrada","⏳ Baixo retorno")))))</f>
        <v/>
      </c>
      <c r="N64" s="102"/>
      <c r="O64" s="102"/>
      <c r="P64" s="103"/>
      <c r="Q64" s="102"/>
      <c r="R64" s="104"/>
      <c r="S64" s="102"/>
      <c r="T64" s="104"/>
      <c r="U64" s="102"/>
    </row>
    <row r="65" customFormat="false" ht="15" hidden="false" customHeight="false" outlineLevel="0" collapsed="false">
      <c r="A65" s="93" t="s">
        <v>744</v>
      </c>
      <c r="B65" s="105"/>
      <c r="C65" s="105"/>
      <c r="D65" s="105"/>
      <c r="E65" s="105"/>
      <c r="F65" s="99" t="str">
        <f aca="false">IF(E65="","",IFERROR(INDEX('Fontes e Parcerias'!$C$5:$C$500,MATCH(IFERROR(LEFT(E65,FIND(" · ",E65)-1),E65),'Fontes e Parcerias'!$A$5:$A$500,0)),"Fonte não encontrada"))</f>
        <v/>
      </c>
      <c r="G65" s="106"/>
      <c r="H65" s="105"/>
      <c r="I65" s="105"/>
      <c r="J65" s="118"/>
      <c r="K65" s="106"/>
      <c r="L65" s="106"/>
      <c r="M65" s="99" t="str">
        <f aca="false">IF(OR(K65="",L65=""),"",IF((IF(L65="Alto",3,IF(L65="Médio",2,1))-IF(K65="Alto",3,IF(K65="Médio",2,1)))=2,"⚡ Quick win",IF((IF(L65="Alto",3,IF(L65="Médio",2,1))-IF(K65="Alto",3,IF(K65="Médio",2,1)))=1,"🚀 Alto retorno",IF(AND(L65="Alto",K65="Alto"),"🎯 Estratégica",IF((IF(L65="Alto",3,IF(L65="Médio",2,1))-IF(K65="Alto",3,IF(K65="Médio",2,1)))=0,"⚖ Equilibrada","⏳ Baixo retorno")))))</f>
        <v/>
      </c>
      <c r="N65" s="105"/>
      <c r="O65" s="105"/>
      <c r="P65" s="106"/>
      <c r="Q65" s="105"/>
      <c r="R65" s="107"/>
      <c r="S65" s="105"/>
      <c r="T65" s="107"/>
      <c r="U65" s="105"/>
    </row>
    <row r="66" customFormat="false" ht="15" hidden="false" customHeight="false" outlineLevel="0" collapsed="false">
      <c r="A66" s="101" t="s">
        <v>745</v>
      </c>
      <c r="B66" s="102"/>
      <c r="C66" s="102"/>
      <c r="D66" s="102"/>
      <c r="E66" s="102"/>
      <c r="F66" s="99" t="str">
        <f aca="false">IF(E66="","",IFERROR(INDEX('Fontes e Parcerias'!$C$5:$C$500,MATCH(IFERROR(LEFT(E66,FIND(" · ",E66)-1),E66),'Fontes e Parcerias'!$A$5:$A$500,0)),"Fonte não encontrada"))</f>
        <v/>
      </c>
      <c r="G66" s="103"/>
      <c r="H66" s="102"/>
      <c r="I66" s="102"/>
      <c r="J66" s="117"/>
      <c r="K66" s="103"/>
      <c r="L66" s="103"/>
      <c r="M66" s="99" t="str">
        <f aca="false">IF(OR(K66="",L66=""),"",IF((IF(L66="Alto",3,IF(L66="Médio",2,1))-IF(K66="Alto",3,IF(K66="Médio",2,1)))=2,"⚡ Quick win",IF((IF(L66="Alto",3,IF(L66="Médio",2,1))-IF(K66="Alto",3,IF(K66="Médio",2,1)))=1,"🚀 Alto retorno",IF(AND(L66="Alto",K66="Alto"),"🎯 Estratégica",IF((IF(L66="Alto",3,IF(L66="Médio",2,1))-IF(K66="Alto",3,IF(K66="Médio",2,1)))=0,"⚖ Equilibrada","⏳ Baixo retorno")))))</f>
        <v/>
      </c>
      <c r="N66" s="102"/>
      <c r="O66" s="102"/>
      <c r="P66" s="103"/>
      <c r="Q66" s="102"/>
      <c r="R66" s="104"/>
      <c r="S66" s="102"/>
      <c r="T66" s="104"/>
      <c r="U66" s="102"/>
    </row>
    <row r="67" customFormat="false" ht="15" hidden="false" customHeight="false" outlineLevel="0" collapsed="false">
      <c r="A67" s="93" t="s">
        <v>746</v>
      </c>
      <c r="B67" s="105"/>
      <c r="C67" s="105"/>
      <c r="D67" s="105"/>
      <c r="E67" s="105"/>
      <c r="F67" s="99" t="str">
        <f aca="false">IF(E67="","",IFERROR(INDEX('Fontes e Parcerias'!$C$5:$C$500,MATCH(IFERROR(LEFT(E67,FIND(" · ",E67)-1),E67),'Fontes e Parcerias'!$A$5:$A$500,0)),"Fonte não encontrada"))</f>
        <v/>
      </c>
      <c r="G67" s="106"/>
      <c r="H67" s="105"/>
      <c r="I67" s="105"/>
      <c r="J67" s="118"/>
      <c r="K67" s="106"/>
      <c r="L67" s="106"/>
      <c r="M67" s="99" t="str">
        <f aca="false">IF(OR(K67="",L67=""),"",IF((IF(L67="Alto",3,IF(L67="Médio",2,1))-IF(K67="Alto",3,IF(K67="Médio",2,1)))=2,"⚡ Quick win",IF((IF(L67="Alto",3,IF(L67="Médio",2,1))-IF(K67="Alto",3,IF(K67="Médio",2,1)))=1,"🚀 Alto retorno",IF(AND(L67="Alto",K67="Alto"),"🎯 Estratégica",IF((IF(L67="Alto",3,IF(L67="Médio",2,1))-IF(K67="Alto",3,IF(K67="Médio",2,1)))=0,"⚖ Equilibrada","⏳ Baixo retorno")))))</f>
        <v/>
      </c>
      <c r="N67" s="105"/>
      <c r="O67" s="105"/>
      <c r="P67" s="106"/>
      <c r="Q67" s="105"/>
      <c r="R67" s="107"/>
      <c r="S67" s="105"/>
      <c r="T67" s="107"/>
      <c r="U67" s="105"/>
    </row>
    <row r="68" customFormat="false" ht="15" hidden="false" customHeight="false" outlineLevel="0" collapsed="false">
      <c r="A68" s="101" t="s">
        <v>747</v>
      </c>
      <c r="B68" s="102"/>
      <c r="C68" s="102"/>
      <c r="D68" s="102"/>
      <c r="E68" s="102"/>
      <c r="F68" s="99" t="str">
        <f aca="false">IF(E68="","",IFERROR(INDEX('Fontes e Parcerias'!$C$5:$C$500,MATCH(IFERROR(LEFT(E68,FIND(" · ",E68)-1),E68),'Fontes e Parcerias'!$A$5:$A$500,0)),"Fonte não encontrada"))</f>
        <v/>
      </c>
      <c r="G68" s="103"/>
      <c r="H68" s="102"/>
      <c r="I68" s="102"/>
      <c r="J68" s="117"/>
      <c r="K68" s="103"/>
      <c r="L68" s="103"/>
      <c r="M68" s="99" t="str">
        <f aca="false">IF(OR(K68="",L68=""),"",IF((IF(L68="Alto",3,IF(L68="Médio",2,1))-IF(K68="Alto",3,IF(K68="Médio",2,1)))=2,"⚡ Quick win",IF((IF(L68="Alto",3,IF(L68="Médio",2,1))-IF(K68="Alto",3,IF(K68="Médio",2,1)))=1,"🚀 Alto retorno",IF(AND(L68="Alto",K68="Alto"),"🎯 Estratégica",IF((IF(L68="Alto",3,IF(L68="Médio",2,1))-IF(K68="Alto",3,IF(K68="Médio",2,1)))=0,"⚖ Equilibrada","⏳ Baixo retorno")))))</f>
        <v/>
      </c>
      <c r="N68" s="102"/>
      <c r="O68" s="102"/>
      <c r="P68" s="103"/>
      <c r="Q68" s="102"/>
      <c r="R68" s="104"/>
      <c r="S68" s="102"/>
      <c r="T68" s="104"/>
      <c r="U68" s="102"/>
    </row>
    <row r="69" customFormat="false" ht="15" hidden="false" customHeight="false" outlineLevel="0" collapsed="false">
      <c r="A69" s="93" t="s">
        <v>748</v>
      </c>
      <c r="B69" s="105"/>
      <c r="C69" s="105"/>
      <c r="D69" s="105"/>
      <c r="E69" s="105"/>
      <c r="F69" s="99" t="str">
        <f aca="false">IF(E69="","",IFERROR(INDEX('Fontes e Parcerias'!$C$5:$C$500,MATCH(IFERROR(LEFT(E69,FIND(" · ",E69)-1),E69),'Fontes e Parcerias'!$A$5:$A$500,0)),"Fonte não encontrada"))</f>
        <v/>
      </c>
      <c r="G69" s="106"/>
      <c r="H69" s="105"/>
      <c r="I69" s="105"/>
      <c r="J69" s="118"/>
      <c r="K69" s="106"/>
      <c r="L69" s="106"/>
      <c r="M69" s="99" t="str">
        <f aca="false">IF(OR(K69="",L69=""),"",IF((IF(L69="Alto",3,IF(L69="Médio",2,1))-IF(K69="Alto",3,IF(K69="Médio",2,1)))=2,"⚡ Quick win",IF((IF(L69="Alto",3,IF(L69="Médio",2,1))-IF(K69="Alto",3,IF(K69="Médio",2,1)))=1,"🚀 Alto retorno",IF(AND(L69="Alto",K69="Alto"),"🎯 Estratégica",IF((IF(L69="Alto",3,IF(L69="Médio",2,1))-IF(K69="Alto",3,IF(K69="Médio",2,1)))=0,"⚖ Equilibrada","⏳ Baixo retorno")))))</f>
        <v/>
      </c>
      <c r="N69" s="105"/>
      <c r="O69" s="105"/>
      <c r="P69" s="106"/>
      <c r="Q69" s="105"/>
      <c r="R69" s="107"/>
      <c r="S69" s="105"/>
      <c r="T69" s="107"/>
      <c r="U69" s="105"/>
    </row>
    <row r="70" customFormat="false" ht="15" hidden="false" customHeight="false" outlineLevel="0" collapsed="false">
      <c r="A70" s="101" t="s">
        <v>749</v>
      </c>
      <c r="B70" s="102"/>
      <c r="C70" s="102"/>
      <c r="D70" s="102"/>
      <c r="E70" s="102"/>
      <c r="F70" s="99" t="str">
        <f aca="false">IF(E70="","",IFERROR(INDEX('Fontes e Parcerias'!$C$5:$C$500,MATCH(IFERROR(LEFT(E70,FIND(" · ",E70)-1),E70),'Fontes e Parcerias'!$A$5:$A$500,0)),"Fonte não encontrada"))</f>
        <v/>
      </c>
      <c r="G70" s="103"/>
      <c r="H70" s="102"/>
      <c r="I70" s="102"/>
      <c r="J70" s="117"/>
      <c r="K70" s="103"/>
      <c r="L70" s="103"/>
      <c r="M70" s="99" t="str">
        <f aca="false">IF(OR(K70="",L70=""),"",IF((IF(L70="Alto",3,IF(L70="Médio",2,1))-IF(K70="Alto",3,IF(K70="Médio",2,1)))=2,"⚡ Quick win",IF((IF(L70="Alto",3,IF(L70="Médio",2,1))-IF(K70="Alto",3,IF(K70="Médio",2,1)))=1,"🚀 Alto retorno",IF(AND(L70="Alto",K70="Alto"),"🎯 Estratégica",IF((IF(L70="Alto",3,IF(L70="Médio",2,1))-IF(K70="Alto",3,IF(K70="Médio",2,1)))=0,"⚖ Equilibrada","⏳ Baixo retorno")))))</f>
        <v/>
      </c>
      <c r="N70" s="102"/>
      <c r="O70" s="102"/>
      <c r="P70" s="103"/>
      <c r="Q70" s="102"/>
      <c r="R70" s="104"/>
      <c r="S70" s="102"/>
      <c r="T70" s="104"/>
      <c r="U70" s="102"/>
    </row>
    <row r="71" customFormat="false" ht="15" hidden="false" customHeight="false" outlineLevel="0" collapsed="false">
      <c r="A71" s="93" t="s">
        <v>750</v>
      </c>
      <c r="B71" s="105"/>
      <c r="C71" s="105"/>
      <c r="D71" s="105"/>
      <c r="E71" s="105"/>
      <c r="F71" s="99" t="str">
        <f aca="false">IF(E71="","",IFERROR(INDEX('Fontes e Parcerias'!$C$5:$C$500,MATCH(IFERROR(LEFT(E71,FIND(" · ",E71)-1),E71),'Fontes e Parcerias'!$A$5:$A$500,0)),"Fonte não encontrada"))</f>
        <v/>
      </c>
      <c r="G71" s="106"/>
      <c r="H71" s="105"/>
      <c r="I71" s="105"/>
      <c r="J71" s="118"/>
      <c r="K71" s="106"/>
      <c r="L71" s="106"/>
      <c r="M71" s="99" t="str">
        <f aca="false">IF(OR(K71="",L71=""),"",IF((IF(L71="Alto",3,IF(L71="Médio",2,1))-IF(K71="Alto",3,IF(K71="Médio",2,1)))=2,"⚡ Quick win",IF((IF(L71="Alto",3,IF(L71="Médio",2,1))-IF(K71="Alto",3,IF(K71="Médio",2,1)))=1,"🚀 Alto retorno",IF(AND(L71="Alto",K71="Alto"),"🎯 Estratégica",IF((IF(L71="Alto",3,IF(L71="Médio",2,1))-IF(K71="Alto",3,IF(K71="Médio",2,1)))=0,"⚖ Equilibrada","⏳ Baixo retorno")))))</f>
        <v/>
      </c>
      <c r="N71" s="105"/>
      <c r="O71" s="105"/>
      <c r="P71" s="106"/>
      <c r="Q71" s="105"/>
      <c r="R71" s="107"/>
      <c r="S71" s="105"/>
      <c r="T71" s="107"/>
      <c r="U71" s="105"/>
    </row>
    <row r="72" customFormat="false" ht="15" hidden="false" customHeight="false" outlineLevel="0" collapsed="false">
      <c r="A72" s="101" t="s">
        <v>751</v>
      </c>
      <c r="B72" s="102"/>
      <c r="C72" s="102"/>
      <c r="D72" s="102"/>
      <c r="E72" s="102"/>
      <c r="F72" s="99" t="str">
        <f aca="false">IF(E72="","",IFERROR(INDEX('Fontes e Parcerias'!$C$5:$C$500,MATCH(IFERROR(LEFT(E72,FIND(" · ",E72)-1),E72),'Fontes e Parcerias'!$A$5:$A$500,0)),"Fonte não encontrada"))</f>
        <v/>
      </c>
      <c r="G72" s="103"/>
      <c r="H72" s="102"/>
      <c r="I72" s="102"/>
      <c r="J72" s="117"/>
      <c r="K72" s="103"/>
      <c r="L72" s="103"/>
      <c r="M72" s="99" t="str">
        <f aca="false">IF(OR(K72="",L72=""),"",IF((IF(L72="Alto",3,IF(L72="Médio",2,1))-IF(K72="Alto",3,IF(K72="Médio",2,1)))=2,"⚡ Quick win",IF((IF(L72="Alto",3,IF(L72="Médio",2,1))-IF(K72="Alto",3,IF(K72="Médio",2,1)))=1,"🚀 Alto retorno",IF(AND(L72="Alto",K72="Alto"),"🎯 Estratégica",IF((IF(L72="Alto",3,IF(L72="Médio",2,1))-IF(K72="Alto",3,IF(K72="Médio",2,1)))=0,"⚖ Equilibrada","⏳ Baixo retorno")))))</f>
        <v/>
      </c>
      <c r="N72" s="102"/>
      <c r="O72" s="102"/>
      <c r="P72" s="103"/>
      <c r="Q72" s="102"/>
      <c r="R72" s="104"/>
      <c r="S72" s="102"/>
      <c r="T72" s="104"/>
      <c r="U72" s="102"/>
    </row>
    <row r="73" customFormat="false" ht="15" hidden="false" customHeight="false" outlineLevel="0" collapsed="false">
      <c r="A73" s="93" t="s">
        <v>752</v>
      </c>
      <c r="B73" s="105"/>
      <c r="C73" s="105"/>
      <c r="D73" s="105"/>
      <c r="E73" s="105"/>
      <c r="F73" s="99" t="str">
        <f aca="false">IF(E73="","",IFERROR(INDEX('Fontes e Parcerias'!$C$5:$C$500,MATCH(IFERROR(LEFT(E73,FIND(" · ",E73)-1),E73),'Fontes e Parcerias'!$A$5:$A$500,0)),"Fonte não encontrada"))</f>
        <v/>
      </c>
      <c r="G73" s="106"/>
      <c r="H73" s="105"/>
      <c r="I73" s="105"/>
      <c r="J73" s="118"/>
      <c r="K73" s="106"/>
      <c r="L73" s="106"/>
      <c r="M73" s="99" t="str">
        <f aca="false">IF(OR(K73="",L73=""),"",IF((IF(L73="Alto",3,IF(L73="Médio",2,1))-IF(K73="Alto",3,IF(K73="Médio",2,1)))=2,"⚡ Quick win",IF((IF(L73="Alto",3,IF(L73="Médio",2,1))-IF(K73="Alto",3,IF(K73="Médio",2,1)))=1,"🚀 Alto retorno",IF(AND(L73="Alto",K73="Alto"),"🎯 Estratégica",IF((IF(L73="Alto",3,IF(L73="Médio",2,1))-IF(K73="Alto",3,IF(K73="Médio",2,1)))=0,"⚖ Equilibrada","⏳ Baixo retorno")))))</f>
        <v/>
      </c>
      <c r="N73" s="105"/>
      <c r="O73" s="105"/>
      <c r="P73" s="106"/>
      <c r="Q73" s="105"/>
      <c r="R73" s="107"/>
      <c r="S73" s="105"/>
      <c r="T73" s="107"/>
      <c r="U73" s="105"/>
    </row>
    <row r="74" customFormat="false" ht="15" hidden="false" customHeight="false" outlineLevel="0" collapsed="false">
      <c r="A74" s="101" t="s">
        <v>753</v>
      </c>
      <c r="B74" s="102"/>
      <c r="C74" s="102"/>
      <c r="D74" s="102"/>
      <c r="E74" s="102"/>
      <c r="F74" s="99" t="str">
        <f aca="false">IF(E74="","",IFERROR(INDEX('Fontes e Parcerias'!$C$5:$C$500,MATCH(IFERROR(LEFT(E74,FIND(" · ",E74)-1),E74),'Fontes e Parcerias'!$A$5:$A$500,0)),"Fonte não encontrada"))</f>
        <v/>
      </c>
      <c r="G74" s="103"/>
      <c r="H74" s="102"/>
      <c r="I74" s="102"/>
      <c r="J74" s="117"/>
      <c r="K74" s="103"/>
      <c r="L74" s="103"/>
      <c r="M74" s="99" t="str">
        <f aca="false">IF(OR(K74="",L74=""),"",IF((IF(L74="Alto",3,IF(L74="Médio",2,1))-IF(K74="Alto",3,IF(K74="Médio",2,1)))=2,"⚡ Quick win",IF((IF(L74="Alto",3,IF(L74="Médio",2,1))-IF(K74="Alto",3,IF(K74="Médio",2,1)))=1,"🚀 Alto retorno",IF(AND(L74="Alto",K74="Alto"),"🎯 Estratégica",IF((IF(L74="Alto",3,IF(L74="Médio",2,1))-IF(K74="Alto",3,IF(K74="Médio",2,1)))=0,"⚖ Equilibrada","⏳ Baixo retorno")))))</f>
        <v/>
      </c>
      <c r="N74" s="102"/>
      <c r="O74" s="102"/>
      <c r="P74" s="103"/>
      <c r="Q74" s="102"/>
      <c r="R74" s="104"/>
      <c r="S74" s="102"/>
      <c r="T74" s="104"/>
      <c r="U74" s="102"/>
    </row>
    <row r="75" customFormat="false" ht="15" hidden="false" customHeight="false" outlineLevel="0" collapsed="false">
      <c r="A75" s="93" t="s">
        <v>754</v>
      </c>
      <c r="B75" s="105"/>
      <c r="C75" s="105"/>
      <c r="D75" s="105"/>
      <c r="E75" s="105"/>
      <c r="F75" s="99" t="str">
        <f aca="false">IF(E75="","",IFERROR(INDEX('Fontes e Parcerias'!$C$5:$C$500,MATCH(IFERROR(LEFT(E75,FIND(" · ",E75)-1),E75),'Fontes e Parcerias'!$A$5:$A$500,0)),"Fonte não encontrada"))</f>
        <v/>
      </c>
      <c r="G75" s="106"/>
      <c r="H75" s="105"/>
      <c r="I75" s="105"/>
      <c r="J75" s="118"/>
      <c r="K75" s="106"/>
      <c r="L75" s="106"/>
      <c r="M75" s="99" t="str">
        <f aca="false">IF(OR(K75="",L75=""),"",IF((IF(L75="Alto",3,IF(L75="Médio",2,1))-IF(K75="Alto",3,IF(K75="Médio",2,1)))=2,"⚡ Quick win",IF((IF(L75="Alto",3,IF(L75="Médio",2,1))-IF(K75="Alto",3,IF(K75="Médio",2,1)))=1,"🚀 Alto retorno",IF(AND(L75="Alto",K75="Alto"),"🎯 Estratégica",IF((IF(L75="Alto",3,IF(L75="Médio",2,1))-IF(K75="Alto",3,IF(K75="Médio",2,1)))=0,"⚖ Equilibrada","⏳ Baixo retorno")))))</f>
        <v/>
      </c>
      <c r="N75" s="105"/>
      <c r="O75" s="105"/>
      <c r="P75" s="106"/>
      <c r="Q75" s="105"/>
      <c r="R75" s="107"/>
      <c r="S75" s="105"/>
      <c r="T75" s="107"/>
      <c r="U75" s="105"/>
    </row>
    <row r="76" customFormat="false" ht="15" hidden="false" customHeight="false" outlineLevel="0" collapsed="false">
      <c r="A76" s="101" t="s">
        <v>755</v>
      </c>
      <c r="B76" s="102"/>
      <c r="C76" s="102"/>
      <c r="D76" s="102"/>
      <c r="E76" s="102"/>
      <c r="F76" s="99" t="str">
        <f aca="false">IF(E76="","",IFERROR(INDEX('Fontes e Parcerias'!$C$5:$C$500,MATCH(IFERROR(LEFT(E76,FIND(" · ",E76)-1),E76),'Fontes e Parcerias'!$A$5:$A$500,0)),"Fonte não encontrada"))</f>
        <v/>
      </c>
      <c r="G76" s="103"/>
      <c r="H76" s="102"/>
      <c r="I76" s="102"/>
      <c r="J76" s="117"/>
      <c r="K76" s="103"/>
      <c r="L76" s="103"/>
      <c r="M76" s="99" t="str">
        <f aca="false">IF(OR(K76="",L76=""),"",IF((IF(L76="Alto",3,IF(L76="Médio",2,1))-IF(K76="Alto",3,IF(K76="Médio",2,1)))=2,"⚡ Quick win",IF((IF(L76="Alto",3,IF(L76="Médio",2,1))-IF(K76="Alto",3,IF(K76="Médio",2,1)))=1,"🚀 Alto retorno",IF(AND(L76="Alto",K76="Alto"),"🎯 Estratégica",IF((IF(L76="Alto",3,IF(L76="Médio",2,1))-IF(K76="Alto",3,IF(K76="Médio",2,1)))=0,"⚖ Equilibrada","⏳ Baixo retorno")))))</f>
        <v/>
      </c>
      <c r="N76" s="102"/>
      <c r="O76" s="102"/>
      <c r="P76" s="103"/>
      <c r="Q76" s="102"/>
      <c r="R76" s="104"/>
      <c r="S76" s="102"/>
      <c r="T76" s="104"/>
      <c r="U76" s="102"/>
    </row>
    <row r="77" customFormat="false" ht="15" hidden="false" customHeight="false" outlineLevel="0" collapsed="false">
      <c r="A77" s="93" t="s">
        <v>756</v>
      </c>
      <c r="B77" s="105"/>
      <c r="C77" s="105"/>
      <c r="D77" s="105"/>
      <c r="E77" s="105"/>
      <c r="F77" s="99" t="str">
        <f aca="false">IF(E77="","",IFERROR(INDEX('Fontes e Parcerias'!$C$5:$C$500,MATCH(IFERROR(LEFT(E77,FIND(" · ",E77)-1),E77),'Fontes e Parcerias'!$A$5:$A$500,0)),"Fonte não encontrada"))</f>
        <v/>
      </c>
      <c r="G77" s="106"/>
      <c r="H77" s="105"/>
      <c r="I77" s="105"/>
      <c r="J77" s="118"/>
      <c r="K77" s="106"/>
      <c r="L77" s="106"/>
      <c r="M77" s="99" t="str">
        <f aca="false">IF(OR(K77="",L77=""),"",IF((IF(L77="Alto",3,IF(L77="Médio",2,1))-IF(K77="Alto",3,IF(K77="Médio",2,1)))=2,"⚡ Quick win",IF((IF(L77="Alto",3,IF(L77="Médio",2,1))-IF(K77="Alto",3,IF(K77="Médio",2,1)))=1,"🚀 Alto retorno",IF(AND(L77="Alto",K77="Alto"),"🎯 Estratégica",IF((IF(L77="Alto",3,IF(L77="Médio",2,1))-IF(K77="Alto",3,IF(K77="Médio",2,1)))=0,"⚖ Equilibrada","⏳ Baixo retorno")))))</f>
        <v/>
      </c>
      <c r="N77" s="105"/>
      <c r="O77" s="105"/>
      <c r="P77" s="106"/>
      <c r="Q77" s="105"/>
      <c r="R77" s="107"/>
      <c r="S77" s="105"/>
      <c r="T77" s="107"/>
      <c r="U77" s="105"/>
    </row>
    <row r="78" customFormat="false" ht="15" hidden="false" customHeight="false" outlineLevel="0" collapsed="false">
      <c r="A78" s="101" t="s">
        <v>757</v>
      </c>
      <c r="B78" s="102"/>
      <c r="C78" s="102"/>
      <c r="D78" s="102"/>
      <c r="E78" s="102"/>
      <c r="F78" s="99" t="str">
        <f aca="false">IF(E78="","",IFERROR(INDEX('Fontes e Parcerias'!$C$5:$C$500,MATCH(IFERROR(LEFT(E78,FIND(" · ",E78)-1),E78),'Fontes e Parcerias'!$A$5:$A$500,0)),"Fonte não encontrada"))</f>
        <v/>
      </c>
      <c r="G78" s="103"/>
      <c r="H78" s="102"/>
      <c r="I78" s="102"/>
      <c r="J78" s="117"/>
      <c r="K78" s="103"/>
      <c r="L78" s="103"/>
      <c r="M78" s="99" t="str">
        <f aca="false">IF(OR(K78="",L78=""),"",IF((IF(L78="Alto",3,IF(L78="Médio",2,1))-IF(K78="Alto",3,IF(K78="Médio",2,1)))=2,"⚡ Quick win",IF((IF(L78="Alto",3,IF(L78="Médio",2,1))-IF(K78="Alto",3,IF(K78="Médio",2,1)))=1,"🚀 Alto retorno",IF(AND(L78="Alto",K78="Alto"),"🎯 Estratégica",IF((IF(L78="Alto",3,IF(L78="Médio",2,1))-IF(K78="Alto",3,IF(K78="Médio",2,1)))=0,"⚖ Equilibrada","⏳ Baixo retorno")))))</f>
        <v/>
      </c>
      <c r="N78" s="102"/>
      <c r="O78" s="102"/>
      <c r="P78" s="103"/>
      <c r="Q78" s="102"/>
      <c r="R78" s="104"/>
      <c r="S78" s="102"/>
      <c r="T78" s="104"/>
      <c r="U78" s="102"/>
    </row>
    <row r="79" customFormat="false" ht="15" hidden="false" customHeight="false" outlineLevel="0" collapsed="false">
      <c r="A79" s="93" t="s">
        <v>758</v>
      </c>
      <c r="B79" s="105"/>
      <c r="C79" s="105"/>
      <c r="D79" s="105"/>
      <c r="E79" s="105"/>
      <c r="F79" s="99" t="str">
        <f aca="false">IF(E79="","",IFERROR(INDEX('Fontes e Parcerias'!$C$5:$C$500,MATCH(IFERROR(LEFT(E79,FIND(" · ",E79)-1),E79),'Fontes e Parcerias'!$A$5:$A$500,0)),"Fonte não encontrada"))</f>
        <v/>
      </c>
      <c r="G79" s="106"/>
      <c r="H79" s="105"/>
      <c r="I79" s="105"/>
      <c r="J79" s="118"/>
      <c r="K79" s="106"/>
      <c r="L79" s="106"/>
      <c r="M79" s="99" t="str">
        <f aca="false">IF(OR(K79="",L79=""),"",IF((IF(L79="Alto",3,IF(L79="Médio",2,1))-IF(K79="Alto",3,IF(K79="Médio",2,1)))=2,"⚡ Quick win",IF((IF(L79="Alto",3,IF(L79="Médio",2,1))-IF(K79="Alto",3,IF(K79="Médio",2,1)))=1,"🚀 Alto retorno",IF(AND(L79="Alto",K79="Alto"),"🎯 Estratégica",IF((IF(L79="Alto",3,IF(L79="Médio",2,1))-IF(K79="Alto",3,IF(K79="Médio",2,1)))=0,"⚖ Equilibrada","⏳ Baixo retorno")))))</f>
        <v/>
      </c>
      <c r="N79" s="105"/>
      <c r="O79" s="105"/>
      <c r="P79" s="106"/>
      <c r="Q79" s="105"/>
      <c r="R79" s="107"/>
      <c r="S79" s="105"/>
      <c r="T79" s="107"/>
      <c r="U79" s="105"/>
    </row>
    <row r="80" customFormat="false" ht="15" hidden="false" customHeight="false" outlineLevel="0" collapsed="false">
      <c r="A80" s="101" t="s">
        <v>759</v>
      </c>
      <c r="B80" s="102"/>
      <c r="C80" s="102"/>
      <c r="D80" s="102"/>
      <c r="E80" s="102"/>
      <c r="F80" s="99" t="str">
        <f aca="false">IF(E80="","",IFERROR(INDEX('Fontes e Parcerias'!$C$5:$C$500,MATCH(IFERROR(LEFT(E80,FIND(" · ",E80)-1),E80),'Fontes e Parcerias'!$A$5:$A$500,0)),"Fonte não encontrada"))</f>
        <v/>
      </c>
      <c r="G80" s="103"/>
      <c r="H80" s="102"/>
      <c r="I80" s="102"/>
      <c r="J80" s="117"/>
      <c r="K80" s="103"/>
      <c r="L80" s="103"/>
      <c r="M80" s="99" t="str">
        <f aca="false">IF(OR(K80="",L80=""),"",IF((IF(L80="Alto",3,IF(L80="Médio",2,1))-IF(K80="Alto",3,IF(K80="Médio",2,1)))=2,"⚡ Quick win",IF((IF(L80="Alto",3,IF(L80="Médio",2,1))-IF(K80="Alto",3,IF(K80="Médio",2,1)))=1,"🚀 Alto retorno",IF(AND(L80="Alto",K80="Alto"),"🎯 Estratégica",IF((IF(L80="Alto",3,IF(L80="Médio",2,1))-IF(K80="Alto",3,IF(K80="Médio",2,1)))=0,"⚖ Equilibrada","⏳ Baixo retorno")))))</f>
        <v/>
      </c>
      <c r="N80" s="102"/>
      <c r="O80" s="102"/>
      <c r="P80" s="103"/>
      <c r="Q80" s="102"/>
      <c r="R80" s="104"/>
      <c r="S80" s="102"/>
      <c r="T80" s="104"/>
      <c r="U80" s="102"/>
    </row>
    <row r="81" customFormat="false" ht="15" hidden="false" customHeight="false" outlineLevel="0" collapsed="false">
      <c r="A81" s="93" t="s">
        <v>760</v>
      </c>
      <c r="B81" s="105"/>
      <c r="C81" s="105"/>
      <c r="D81" s="105"/>
      <c r="E81" s="105"/>
      <c r="F81" s="99" t="str">
        <f aca="false">IF(E81="","",IFERROR(INDEX('Fontes e Parcerias'!$C$5:$C$500,MATCH(IFERROR(LEFT(E81,FIND(" · ",E81)-1),E81),'Fontes e Parcerias'!$A$5:$A$500,0)),"Fonte não encontrada"))</f>
        <v/>
      </c>
      <c r="G81" s="106"/>
      <c r="H81" s="105"/>
      <c r="I81" s="105"/>
      <c r="J81" s="118"/>
      <c r="K81" s="106"/>
      <c r="L81" s="106"/>
      <c r="M81" s="99" t="str">
        <f aca="false">IF(OR(K81="",L81=""),"",IF((IF(L81="Alto",3,IF(L81="Médio",2,1))-IF(K81="Alto",3,IF(K81="Médio",2,1)))=2,"⚡ Quick win",IF((IF(L81="Alto",3,IF(L81="Médio",2,1))-IF(K81="Alto",3,IF(K81="Médio",2,1)))=1,"🚀 Alto retorno",IF(AND(L81="Alto",K81="Alto"),"🎯 Estratégica",IF((IF(L81="Alto",3,IF(L81="Médio",2,1))-IF(K81="Alto",3,IF(K81="Médio",2,1)))=0,"⚖ Equilibrada","⏳ Baixo retorno")))))</f>
        <v/>
      </c>
      <c r="N81" s="105"/>
      <c r="O81" s="105"/>
      <c r="P81" s="106"/>
      <c r="Q81" s="105"/>
      <c r="R81" s="107"/>
      <c r="S81" s="105"/>
      <c r="T81" s="107"/>
      <c r="U81" s="105"/>
    </row>
    <row r="82" customFormat="false" ht="15" hidden="false" customHeight="false" outlineLevel="0" collapsed="false">
      <c r="A82" s="101" t="s">
        <v>761</v>
      </c>
      <c r="B82" s="102"/>
      <c r="C82" s="102"/>
      <c r="D82" s="102"/>
      <c r="E82" s="102"/>
      <c r="F82" s="99" t="str">
        <f aca="false">IF(E82="","",IFERROR(INDEX('Fontes e Parcerias'!$C$5:$C$500,MATCH(IFERROR(LEFT(E82,FIND(" · ",E82)-1),E82),'Fontes e Parcerias'!$A$5:$A$500,0)),"Fonte não encontrada"))</f>
        <v/>
      </c>
      <c r="G82" s="103"/>
      <c r="H82" s="102"/>
      <c r="I82" s="102"/>
      <c r="J82" s="117"/>
      <c r="K82" s="103"/>
      <c r="L82" s="103"/>
      <c r="M82" s="99" t="str">
        <f aca="false">IF(OR(K82="",L82=""),"",IF((IF(L82="Alto",3,IF(L82="Médio",2,1))-IF(K82="Alto",3,IF(K82="Médio",2,1)))=2,"⚡ Quick win",IF((IF(L82="Alto",3,IF(L82="Médio",2,1))-IF(K82="Alto",3,IF(K82="Médio",2,1)))=1,"🚀 Alto retorno",IF(AND(L82="Alto",K82="Alto"),"🎯 Estratégica",IF((IF(L82="Alto",3,IF(L82="Médio",2,1))-IF(K82="Alto",3,IF(K82="Médio",2,1)))=0,"⚖ Equilibrada","⏳ Baixo retorno")))))</f>
        <v/>
      </c>
      <c r="N82" s="102"/>
      <c r="O82" s="102"/>
      <c r="P82" s="103"/>
      <c r="Q82" s="102"/>
      <c r="R82" s="104"/>
      <c r="S82" s="102"/>
      <c r="T82" s="104"/>
      <c r="U82" s="102"/>
    </row>
    <row r="83" customFormat="false" ht="15" hidden="false" customHeight="false" outlineLevel="0" collapsed="false">
      <c r="A83" s="93" t="s">
        <v>762</v>
      </c>
      <c r="B83" s="105"/>
      <c r="C83" s="105"/>
      <c r="D83" s="105"/>
      <c r="E83" s="105"/>
      <c r="F83" s="99" t="str">
        <f aca="false">IF(E83="","",IFERROR(INDEX('Fontes e Parcerias'!$C$5:$C$500,MATCH(IFERROR(LEFT(E83,FIND(" · ",E83)-1),E83),'Fontes e Parcerias'!$A$5:$A$500,0)),"Fonte não encontrada"))</f>
        <v/>
      </c>
      <c r="G83" s="106"/>
      <c r="H83" s="105"/>
      <c r="I83" s="105"/>
      <c r="J83" s="118"/>
      <c r="K83" s="106"/>
      <c r="L83" s="106"/>
      <c r="M83" s="99" t="str">
        <f aca="false">IF(OR(K83="",L83=""),"",IF((IF(L83="Alto",3,IF(L83="Médio",2,1))-IF(K83="Alto",3,IF(K83="Médio",2,1)))=2,"⚡ Quick win",IF((IF(L83="Alto",3,IF(L83="Médio",2,1))-IF(K83="Alto",3,IF(K83="Médio",2,1)))=1,"🚀 Alto retorno",IF(AND(L83="Alto",K83="Alto"),"🎯 Estratégica",IF((IF(L83="Alto",3,IF(L83="Médio",2,1))-IF(K83="Alto",3,IF(K83="Médio",2,1)))=0,"⚖ Equilibrada","⏳ Baixo retorno")))))</f>
        <v/>
      </c>
      <c r="N83" s="105"/>
      <c r="O83" s="105"/>
      <c r="P83" s="106"/>
      <c r="Q83" s="105"/>
      <c r="R83" s="107"/>
      <c r="S83" s="105"/>
      <c r="T83" s="107"/>
      <c r="U83" s="105"/>
    </row>
    <row r="84" customFormat="false" ht="15" hidden="false" customHeight="false" outlineLevel="0" collapsed="false">
      <c r="A84" s="101" t="s">
        <v>763</v>
      </c>
      <c r="B84" s="102"/>
      <c r="C84" s="102"/>
      <c r="D84" s="102"/>
      <c r="E84" s="102"/>
      <c r="F84" s="99" t="str">
        <f aca="false">IF(E84="","",IFERROR(INDEX('Fontes e Parcerias'!$C$5:$C$500,MATCH(IFERROR(LEFT(E84,FIND(" · ",E84)-1),E84),'Fontes e Parcerias'!$A$5:$A$500,0)),"Fonte não encontrada"))</f>
        <v/>
      </c>
      <c r="G84" s="103"/>
      <c r="H84" s="102"/>
      <c r="I84" s="102"/>
      <c r="J84" s="117"/>
      <c r="K84" s="103"/>
      <c r="L84" s="103"/>
      <c r="M84" s="99" t="str">
        <f aca="false">IF(OR(K84="",L84=""),"",IF((IF(L84="Alto",3,IF(L84="Médio",2,1))-IF(K84="Alto",3,IF(K84="Médio",2,1)))=2,"⚡ Quick win",IF((IF(L84="Alto",3,IF(L84="Médio",2,1))-IF(K84="Alto",3,IF(K84="Médio",2,1)))=1,"🚀 Alto retorno",IF(AND(L84="Alto",K84="Alto"),"🎯 Estratégica",IF((IF(L84="Alto",3,IF(L84="Médio",2,1))-IF(K84="Alto",3,IF(K84="Médio",2,1)))=0,"⚖ Equilibrada","⏳ Baixo retorno")))))</f>
        <v/>
      </c>
      <c r="N84" s="102"/>
      <c r="O84" s="102"/>
      <c r="P84" s="103"/>
      <c r="Q84" s="102"/>
      <c r="R84" s="104"/>
      <c r="S84" s="102"/>
      <c r="T84" s="104"/>
      <c r="U84" s="102"/>
    </row>
    <row r="85" customFormat="false" ht="15" hidden="false" customHeight="false" outlineLevel="0" collapsed="false">
      <c r="A85" s="93" t="s">
        <v>764</v>
      </c>
      <c r="B85" s="105"/>
      <c r="C85" s="105"/>
      <c r="D85" s="105"/>
      <c r="E85" s="105"/>
      <c r="F85" s="99" t="str">
        <f aca="false">IF(E85="","",IFERROR(INDEX('Fontes e Parcerias'!$C$5:$C$500,MATCH(IFERROR(LEFT(E85,FIND(" · ",E85)-1),E85),'Fontes e Parcerias'!$A$5:$A$500,0)),"Fonte não encontrada"))</f>
        <v/>
      </c>
      <c r="G85" s="106"/>
      <c r="H85" s="105"/>
      <c r="I85" s="105"/>
      <c r="J85" s="118"/>
      <c r="K85" s="106"/>
      <c r="L85" s="106"/>
      <c r="M85" s="99" t="str">
        <f aca="false">IF(OR(K85="",L85=""),"",IF((IF(L85="Alto",3,IF(L85="Médio",2,1))-IF(K85="Alto",3,IF(K85="Médio",2,1)))=2,"⚡ Quick win",IF((IF(L85="Alto",3,IF(L85="Médio",2,1))-IF(K85="Alto",3,IF(K85="Médio",2,1)))=1,"🚀 Alto retorno",IF(AND(L85="Alto",K85="Alto"),"🎯 Estratégica",IF((IF(L85="Alto",3,IF(L85="Médio",2,1))-IF(K85="Alto",3,IF(K85="Médio",2,1)))=0,"⚖ Equilibrada","⏳ Baixo retorno")))))</f>
        <v/>
      </c>
      <c r="N85" s="105"/>
      <c r="O85" s="105"/>
      <c r="P85" s="106"/>
      <c r="Q85" s="105"/>
      <c r="R85" s="107"/>
      <c r="S85" s="105"/>
      <c r="T85" s="107"/>
      <c r="U85" s="105"/>
    </row>
    <row r="86" customFormat="false" ht="15" hidden="false" customHeight="false" outlineLevel="0" collapsed="false">
      <c r="A86" s="101" t="s">
        <v>765</v>
      </c>
      <c r="B86" s="102"/>
      <c r="C86" s="102"/>
      <c r="D86" s="102"/>
      <c r="E86" s="102"/>
      <c r="F86" s="99" t="str">
        <f aca="false">IF(E86="","",IFERROR(INDEX('Fontes e Parcerias'!$C$5:$C$500,MATCH(IFERROR(LEFT(E86,FIND(" · ",E86)-1),E86),'Fontes e Parcerias'!$A$5:$A$500,0)),"Fonte não encontrada"))</f>
        <v/>
      </c>
      <c r="G86" s="103"/>
      <c r="H86" s="102"/>
      <c r="I86" s="102"/>
      <c r="J86" s="117"/>
      <c r="K86" s="103"/>
      <c r="L86" s="103"/>
      <c r="M86" s="99" t="str">
        <f aca="false">IF(OR(K86="",L86=""),"",IF((IF(L86="Alto",3,IF(L86="Médio",2,1))-IF(K86="Alto",3,IF(K86="Médio",2,1)))=2,"⚡ Quick win",IF((IF(L86="Alto",3,IF(L86="Médio",2,1))-IF(K86="Alto",3,IF(K86="Médio",2,1)))=1,"🚀 Alto retorno",IF(AND(L86="Alto",K86="Alto"),"🎯 Estratégica",IF((IF(L86="Alto",3,IF(L86="Médio",2,1))-IF(K86="Alto",3,IF(K86="Médio",2,1)))=0,"⚖ Equilibrada","⏳ Baixo retorno")))))</f>
        <v/>
      </c>
      <c r="N86" s="102"/>
      <c r="O86" s="102"/>
      <c r="P86" s="103"/>
      <c r="Q86" s="102"/>
      <c r="R86" s="104"/>
      <c r="S86" s="102"/>
      <c r="T86" s="104"/>
      <c r="U86" s="102"/>
    </row>
    <row r="87" customFormat="false" ht="15" hidden="false" customHeight="false" outlineLevel="0" collapsed="false">
      <c r="A87" s="93" t="s">
        <v>766</v>
      </c>
      <c r="B87" s="105"/>
      <c r="C87" s="105"/>
      <c r="D87" s="105"/>
      <c r="E87" s="105"/>
      <c r="F87" s="99" t="str">
        <f aca="false">IF(E87="","",IFERROR(INDEX('Fontes e Parcerias'!$C$5:$C$500,MATCH(IFERROR(LEFT(E87,FIND(" · ",E87)-1),E87),'Fontes e Parcerias'!$A$5:$A$500,0)),"Fonte não encontrada"))</f>
        <v/>
      </c>
      <c r="G87" s="106"/>
      <c r="H87" s="105"/>
      <c r="I87" s="105"/>
      <c r="J87" s="118"/>
      <c r="K87" s="106"/>
      <c r="L87" s="106"/>
      <c r="M87" s="99" t="str">
        <f aca="false">IF(OR(K87="",L87=""),"",IF((IF(L87="Alto",3,IF(L87="Médio",2,1))-IF(K87="Alto",3,IF(K87="Médio",2,1)))=2,"⚡ Quick win",IF((IF(L87="Alto",3,IF(L87="Médio",2,1))-IF(K87="Alto",3,IF(K87="Médio",2,1)))=1,"🚀 Alto retorno",IF(AND(L87="Alto",K87="Alto"),"🎯 Estratégica",IF((IF(L87="Alto",3,IF(L87="Médio",2,1))-IF(K87="Alto",3,IF(K87="Médio",2,1)))=0,"⚖ Equilibrada","⏳ Baixo retorno")))))</f>
        <v/>
      </c>
      <c r="N87" s="105"/>
      <c r="O87" s="105"/>
      <c r="P87" s="106"/>
      <c r="Q87" s="105"/>
      <c r="R87" s="107"/>
      <c r="S87" s="105"/>
      <c r="T87" s="107"/>
      <c r="U87" s="105"/>
    </row>
    <row r="88" customFormat="false" ht="15" hidden="false" customHeight="false" outlineLevel="0" collapsed="false">
      <c r="A88" s="101" t="s">
        <v>767</v>
      </c>
      <c r="B88" s="102"/>
      <c r="C88" s="102"/>
      <c r="D88" s="102"/>
      <c r="E88" s="102"/>
      <c r="F88" s="99" t="str">
        <f aca="false">IF(E88="","",IFERROR(INDEX('Fontes e Parcerias'!$C$5:$C$500,MATCH(IFERROR(LEFT(E88,FIND(" · ",E88)-1),E88),'Fontes e Parcerias'!$A$5:$A$500,0)),"Fonte não encontrada"))</f>
        <v/>
      </c>
      <c r="G88" s="103"/>
      <c r="H88" s="102"/>
      <c r="I88" s="102"/>
      <c r="J88" s="117"/>
      <c r="K88" s="103"/>
      <c r="L88" s="103"/>
      <c r="M88" s="99" t="str">
        <f aca="false">IF(OR(K88="",L88=""),"",IF((IF(L88="Alto",3,IF(L88="Médio",2,1))-IF(K88="Alto",3,IF(K88="Médio",2,1)))=2,"⚡ Quick win",IF((IF(L88="Alto",3,IF(L88="Médio",2,1))-IF(K88="Alto",3,IF(K88="Médio",2,1)))=1,"🚀 Alto retorno",IF(AND(L88="Alto",K88="Alto"),"🎯 Estratégica",IF((IF(L88="Alto",3,IF(L88="Médio",2,1))-IF(K88="Alto",3,IF(K88="Médio",2,1)))=0,"⚖ Equilibrada","⏳ Baixo retorno")))))</f>
        <v/>
      </c>
      <c r="N88" s="102"/>
      <c r="O88" s="102"/>
      <c r="P88" s="103"/>
      <c r="Q88" s="102"/>
      <c r="R88" s="104"/>
      <c r="S88" s="102"/>
      <c r="T88" s="104"/>
      <c r="U88" s="102"/>
    </row>
    <row r="89" customFormat="false" ht="15" hidden="false" customHeight="false" outlineLevel="0" collapsed="false">
      <c r="A89" s="93" t="s">
        <v>768</v>
      </c>
      <c r="B89" s="105"/>
      <c r="C89" s="105"/>
      <c r="D89" s="105"/>
      <c r="E89" s="105"/>
      <c r="F89" s="99" t="str">
        <f aca="false">IF(E89="","",IFERROR(INDEX('Fontes e Parcerias'!$C$5:$C$500,MATCH(IFERROR(LEFT(E89,FIND(" · ",E89)-1),E89),'Fontes e Parcerias'!$A$5:$A$500,0)),"Fonte não encontrada"))</f>
        <v/>
      </c>
      <c r="G89" s="106"/>
      <c r="H89" s="105"/>
      <c r="I89" s="105"/>
      <c r="J89" s="118"/>
      <c r="K89" s="106"/>
      <c r="L89" s="106"/>
      <c r="M89" s="99" t="str">
        <f aca="false">IF(OR(K89="",L89=""),"",IF((IF(L89="Alto",3,IF(L89="Médio",2,1))-IF(K89="Alto",3,IF(K89="Médio",2,1)))=2,"⚡ Quick win",IF((IF(L89="Alto",3,IF(L89="Médio",2,1))-IF(K89="Alto",3,IF(K89="Médio",2,1)))=1,"🚀 Alto retorno",IF(AND(L89="Alto",K89="Alto"),"🎯 Estratégica",IF((IF(L89="Alto",3,IF(L89="Médio",2,1))-IF(K89="Alto",3,IF(K89="Médio",2,1)))=0,"⚖ Equilibrada","⏳ Baixo retorno")))))</f>
        <v/>
      </c>
      <c r="N89" s="105"/>
      <c r="O89" s="105"/>
      <c r="P89" s="106"/>
      <c r="Q89" s="105"/>
      <c r="R89" s="107"/>
      <c r="S89" s="105"/>
      <c r="T89" s="107"/>
      <c r="U89" s="105"/>
    </row>
    <row r="90" customFormat="false" ht="15" hidden="false" customHeight="false" outlineLevel="0" collapsed="false">
      <c r="A90" s="101" t="s">
        <v>769</v>
      </c>
      <c r="B90" s="102"/>
      <c r="C90" s="102"/>
      <c r="D90" s="102"/>
      <c r="E90" s="102"/>
      <c r="F90" s="99" t="str">
        <f aca="false">IF(E90="","",IFERROR(INDEX('Fontes e Parcerias'!$C$5:$C$500,MATCH(IFERROR(LEFT(E90,FIND(" · ",E90)-1),E90),'Fontes e Parcerias'!$A$5:$A$500,0)),"Fonte não encontrada"))</f>
        <v/>
      </c>
      <c r="G90" s="103"/>
      <c r="H90" s="102"/>
      <c r="I90" s="102"/>
      <c r="J90" s="117"/>
      <c r="K90" s="103"/>
      <c r="L90" s="103"/>
      <c r="M90" s="99" t="str">
        <f aca="false">IF(OR(K90="",L90=""),"",IF((IF(L90="Alto",3,IF(L90="Médio",2,1))-IF(K90="Alto",3,IF(K90="Médio",2,1)))=2,"⚡ Quick win",IF((IF(L90="Alto",3,IF(L90="Médio",2,1))-IF(K90="Alto",3,IF(K90="Médio",2,1)))=1,"🚀 Alto retorno",IF(AND(L90="Alto",K90="Alto"),"🎯 Estratégica",IF((IF(L90="Alto",3,IF(L90="Médio",2,1))-IF(K90="Alto",3,IF(K90="Médio",2,1)))=0,"⚖ Equilibrada","⏳ Baixo retorno")))))</f>
        <v/>
      </c>
      <c r="N90" s="102"/>
      <c r="O90" s="102"/>
      <c r="P90" s="103"/>
      <c r="Q90" s="102"/>
      <c r="R90" s="104"/>
      <c r="S90" s="102"/>
      <c r="T90" s="104"/>
      <c r="U90" s="102"/>
    </row>
    <row r="91" customFormat="false" ht="15" hidden="false" customHeight="false" outlineLevel="0" collapsed="false">
      <c r="A91" s="93" t="s">
        <v>770</v>
      </c>
      <c r="B91" s="105"/>
      <c r="C91" s="105"/>
      <c r="D91" s="105"/>
      <c r="E91" s="105"/>
      <c r="F91" s="99" t="str">
        <f aca="false">IF(E91="","",IFERROR(INDEX('Fontes e Parcerias'!$C$5:$C$500,MATCH(IFERROR(LEFT(E91,FIND(" · ",E91)-1),E91),'Fontes e Parcerias'!$A$5:$A$500,0)),"Fonte não encontrada"))</f>
        <v/>
      </c>
      <c r="G91" s="106"/>
      <c r="H91" s="105"/>
      <c r="I91" s="105"/>
      <c r="J91" s="118"/>
      <c r="K91" s="106"/>
      <c r="L91" s="106"/>
      <c r="M91" s="99" t="str">
        <f aca="false">IF(OR(K91="",L91=""),"",IF((IF(L91="Alto",3,IF(L91="Médio",2,1))-IF(K91="Alto",3,IF(K91="Médio",2,1)))=2,"⚡ Quick win",IF((IF(L91="Alto",3,IF(L91="Médio",2,1))-IF(K91="Alto",3,IF(K91="Médio",2,1)))=1,"🚀 Alto retorno",IF(AND(L91="Alto",K91="Alto"),"🎯 Estratégica",IF((IF(L91="Alto",3,IF(L91="Médio",2,1))-IF(K91="Alto",3,IF(K91="Médio",2,1)))=0,"⚖ Equilibrada","⏳ Baixo retorno")))))</f>
        <v/>
      </c>
      <c r="N91" s="105"/>
      <c r="O91" s="105"/>
      <c r="P91" s="106"/>
      <c r="Q91" s="105"/>
      <c r="R91" s="107"/>
      <c r="S91" s="105"/>
      <c r="T91" s="107"/>
      <c r="U91" s="105"/>
    </row>
    <row r="92" customFormat="false" ht="15" hidden="false" customHeight="false" outlineLevel="0" collapsed="false">
      <c r="A92" s="101" t="s">
        <v>771</v>
      </c>
      <c r="B92" s="102"/>
      <c r="C92" s="102"/>
      <c r="D92" s="102"/>
      <c r="E92" s="102"/>
      <c r="F92" s="99" t="str">
        <f aca="false">IF(E92="","",IFERROR(INDEX('Fontes e Parcerias'!$C$5:$C$500,MATCH(IFERROR(LEFT(E92,FIND(" · ",E92)-1),E92),'Fontes e Parcerias'!$A$5:$A$500,0)),"Fonte não encontrada"))</f>
        <v/>
      </c>
      <c r="G92" s="103"/>
      <c r="H92" s="102"/>
      <c r="I92" s="102"/>
      <c r="J92" s="117"/>
      <c r="K92" s="103"/>
      <c r="L92" s="103"/>
      <c r="M92" s="99" t="str">
        <f aca="false">IF(OR(K92="",L92=""),"",IF((IF(L92="Alto",3,IF(L92="Médio",2,1))-IF(K92="Alto",3,IF(K92="Médio",2,1)))=2,"⚡ Quick win",IF((IF(L92="Alto",3,IF(L92="Médio",2,1))-IF(K92="Alto",3,IF(K92="Médio",2,1)))=1,"🚀 Alto retorno",IF(AND(L92="Alto",K92="Alto"),"🎯 Estratégica",IF((IF(L92="Alto",3,IF(L92="Médio",2,1))-IF(K92="Alto",3,IF(K92="Médio",2,1)))=0,"⚖ Equilibrada","⏳ Baixo retorno")))))</f>
        <v/>
      </c>
      <c r="N92" s="102"/>
      <c r="O92" s="102"/>
      <c r="P92" s="103"/>
      <c r="Q92" s="102"/>
      <c r="R92" s="104"/>
      <c r="S92" s="102"/>
      <c r="T92" s="104"/>
      <c r="U92" s="102"/>
    </row>
    <row r="93" customFormat="false" ht="15" hidden="false" customHeight="false" outlineLevel="0" collapsed="false">
      <c r="A93" s="93" t="s">
        <v>772</v>
      </c>
      <c r="B93" s="105"/>
      <c r="C93" s="105"/>
      <c r="D93" s="105"/>
      <c r="E93" s="105"/>
      <c r="F93" s="99" t="str">
        <f aca="false">IF(E93="","",IFERROR(INDEX('Fontes e Parcerias'!$C$5:$C$500,MATCH(IFERROR(LEFT(E93,FIND(" · ",E93)-1),E93),'Fontes e Parcerias'!$A$5:$A$500,0)),"Fonte não encontrada"))</f>
        <v/>
      </c>
      <c r="G93" s="106"/>
      <c r="H93" s="105"/>
      <c r="I93" s="105"/>
      <c r="J93" s="118"/>
      <c r="K93" s="106"/>
      <c r="L93" s="106"/>
      <c r="M93" s="99" t="str">
        <f aca="false">IF(OR(K93="",L93=""),"",IF((IF(L93="Alto",3,IF(L93="Médio",2,1))-IF(K93="Alto",3,IF(K93="Médio",2,1)))=2,"⚡ Quick win",IF((IF(L93="Alto",3,IF(L93="Médio",2,1))-IF(K93="Alto",3,IF(K93="Médio",2,1)))=1,"🚀 Alto retorno",IF(AND(L93="Alto",K93="Alto"),"🎯 Estratégica",IF((IF(L93="Alto",3,IF(L93="Médio",2,1))-IF(K93="Alto",3,IF(K93="Médio",2,1)))=0,"⚖ Equilibrada","⏳ Baixo retorno")))))</f>
        <v/>
      </c>
      <c r="N93" s="105"/>
      <c r="O93" s="105"/>
      <c r="P93" s="106"/>
      <c r="Q93" s="105"/>
      <c r="R93" s="107"/>
      <c r="S93" s="105"/>
      <c r="T93" s="107"/>
      <c r="U93" s="105"/>
    </row>
    <row r="94" customFormat="false" ht="15" hidden="false" customHeight="false" outlineLevel="0" collapsed="false">
      <c r="A94" s="101" t="s">
        <v>773</v>
      </c>
      <c r="B94" s="102"/>
      <c r="C94" s="102"/>
      <c r="D94" s="102"/>
      <c r="E94" s="102"/>
      <c r="F94" s="99" t="str">
        <f aca="false">IF(E94="","",IFERROR(INDEX('Fontes e Parcerias'!$C$5:$C$500,MATCH(IFERROR(LEFT(E94,FIND(" · ",E94)-1),E94),'Fontes e Parcerias'!$A$5:$A$500,0)),"Fonte não encontrada"))</f>
        <v/>
      </c>
      <c r="G94" s="103"/>
      <c r="H94" s="102"/>
      <c r="I94" s="102"/>
      <c r="J94" s="117"/>
      <c r="K94" s="103"/>
      <c r="L94" s="103"/>
      <c r="M94" s="99" t="str">
        <f aca="false">IF(OR(K94="",L94=""),"",IF((IF(L94="Alto",3,IF(L94="Médio",2,1))-IF(K94="Alto",3,IF(K94="Médio",2,1)))=2,"⚡ Quick win",IF((IF(L94="Alto",3,IF(L94="Médio",2,1))-IF(K94="Alto",3,IF(K94="Médio",2,1)))=1,"🚀 Alto retorno",IF(AND(L94="Alto",K94="Alto"),"🎯 Estratégica",IF((IF(L94="Alto",3,IF(L94="Médio",2,1))-IF(K94="Alto",3,IF(K94="Médio",2,1)))=0,"⚖ Equilibrada","⏳ Baixo retorno")))))</f>
        <v/>
      </c>
      <c r="N94" s="102"/>
      <c r="O94" s="102"/>
      <c r="P94" s="103"/>
      <c r="Q94" s="102"/>
      <c r="R94" s="104"/>
      <c r="S94" s="102"/>
      <c r="T94" s="104"/>
      <c r="U94" s="102"/>
    </row>
    <row r="95" customFormat="false" ht="15" hidden="false" customHeight="false" outlineLevel="0" collapsed="false">
      <c r="A95" s="93" t="s">
        <v>774</v>
      </c>
      <c r="B95" s="105"/>
      <c r="C95" s="105"/>
      <c r="D95" s="105"/>
      <c r="E95" s="105"/>
      <c r="F95" s="99" t="str">
        <f aca="false">IF(E95="","",IFERROR(INDEX('Fontes e Parcerias'!$C$5:$C$500,MATCH(IFERROR(LEFT(E95,FIND(" · ",E95)-1),E95),'Fontes e Parcerias'!$A$5:$A$500,0)),"Fonte não encontrada"))</f>
        <v/>
      </c>
      <c r="G95" s="106"/>
      <c r="H95" s="105"/>
      <c r="I95" s="105"/>
      <c r="J95" s="118"/>
      <c r="K95" s="106"/>
      <c r="L95" s="106"/>
      <c r="M95" s="99" t="str">
        <f aca="false">IF(OR(K95="",L95=""),"",IF((IF(L95="Alto",3,IF(L95="Médio",2,1))-IF(K95="Alto",3,IF(K95="Médio",2,1)))=2,"⚡ Quick win",IF((IF(L95="Alto",3,IF(L95="Médio",2,1))-IF(K95="Alto",3,IF(K95="Médio",2,1)))=1,"🚀 Alto retorno",IF(AND(L95="Alto",K95="Alto"),"🎯 Estratégica",IF((IF(L95="Alto",3,IF(L95="Médio",2,1))-IF(K95="Alto",3,IF(K95="Médio",2,1)))=0,"⚖ Equilibrada","⏳ Baixo retorno")))))</f>
        <v/>
      </c>
      <c r="N95" s="105"/>
      <c r="O95" s="105"/>
      <c r="P95" s="106"/>
      <c r="Q95" s="105"/>
      <c r="R95" s="107"/>
      <c r="S95" s="105"/>
      <c r="T95" s="107"/>
      <c r="U95" s="105"/>
    </row>
    <row r="96" customFormat="false" ht="15" hidden="false" customHeight="false" outlineLevel="0" collapsed="false">
      <c r="A96" s="101" t="s">
        <v>775</v>
      </c>
      <c r="B96" s="102"/>
      <c r="C96" s="102"/>
      <c r="D96" s="102"/>
      <c r="E96" s="102"/>
      <c r="F96" s="99" t="str">
        <f aca="false">IF(E96="","",IFERROR(INDEX('Fontes e Parcerias'!$C$5:$C$500,MATCH(IFERROR(LEFT(E96,FIND(" · ",E96)-1),E96),'Fontes e Parcerias'!$A$5:$A$500,0)),"Fonte não encontrada"))</f>
        <v/>
      </c>
      <c r="G96" s="103"/>
      <c r="H96" s="102"/>
      <c r="I96" s="102"/>
      <c r="J96" s="117"/>
      <c r="K96" s="103"/>
      <c r="L96" s="103"/>
      <c r="M96" s="99" t="str">
        <f aca="false">IF(OR(K96="",L96=""),"",IF((IF(L96="Alto",3,IF(L96="Médio",2,1))-IF(K96="Alto",3,IF(K96="Médio",2,1)))=2,"⚡ Quick win",IF((IF(L96="Alto",3,IF(L96="Médio",2,1))-IF(K96="Alto",3,IF(K96="Médio",2,1)))=1,"🚀 Alto retorno",IF(AND(L96="Alto",K96="Alto"),"🎯 Estratégica",IF((IF(L96="Alto",3,IF(L96="Médio",2,1))-IF(K96="Alto",3,IF(K96="Médio",2,1)))=0,"⚖ Equilibrada","⏳ Baixo retorno")))))</f>
        <v/>
      </c>
      <c r="N96" s="102"/>
      <c r="O96" s="102"/>
      <c r="P96" s="103"/>
      <c r="Q96" s="102"/>
      <c r="R96" s="104"/>
      <c r="S96" s="102"/>
      <c r="T96" s="104"/>
      <c r="U96" s="102"/>
    </row>
    <row r="97" customFormat="false" ht="15" hidden="false" customHeight="false" outlineLevel="0" collapsed="false">
      <c r="A97" s="93" t="s">
        <v>776</v>
      </c>
      <c r="B97" s="105"/>
      <c r="C97" s="105"/>
      <c r="D97" s="105"/>
      <c r="E97" s="105"/>
      <c r="F97" s="99" t="str">
        <f aca="false">IF(E97="","",IFERROR(INDEX('Fontes e Parcerias'!$C$5:$C$500,MATCH(IFERROR(LEFT(E97,FIND(" · ",E97)-1),E97),'Fontes e Parcerias'!$A$5:$A$500,0)),"Fonte não encontrada"))</f>
        <v/>
      </c>
      <c r="G97" s="106"/>
      <c r="H97" s="105"/>
      <c r="I97" s="105"/>
      <c r="J97" s="118"/>
      <c r="K97" s="106"/>
      <c r="L97" s="106"/>
      <c r="M97" s="99" t="str">
        <f aca="false">IF(OR(K97="",L97=""),"",IF((IF(L97="Alto",3,IF(L97="Médio",2,1))-IF(K97="Alto",3,IF(K97="Médio",2,1)))=2,"⚡ Quick win",IF((IF(L97="Alto",3,IF(L97="Médio",2,1))-IF(K97="Alto",3,IF(K97="Médio",2,1)))=1,"🚀 Alto retorno",IF(AND(L97="Alto",K97="Alto"),"🎯 Estratégica",IF((IF(L97="Alto",3,IF(L97="Médio",2,1))-IF(K97="Alto",3,IF(K97="Médio",2,1)))=0,"⚖ Equilibrada","⏳ Baixo retorno")))))</f>
        <v/>
      </c>
      <c r="N97" s="105"/>
      <c r="O97" s="105"/>
      <c r="P97" s="106"/>
      <c r="Q97" s="105"/>
      <c r="R97" s="107"/>
      <c r="S97" s="105"/>
      <c r="T97" s="107"/>
      <c r="U97" s="105"/>
    </row>
    <row r="98" customFormat="false" ht="15" hidden="false" customHeight="false" outlineLevel="0" collapsed="false">
      <c r="A98" s="101" t="s">
        <v>777</v>
      </c>
      <c r="B98" s="102"/>
      <c r="C98" s="102"/>
      <c r="D98" s="102"/>
      <c r="E98" s="102"/>
      <c r="F98" s="99" t="str">
        <f aca="false">IF(E98="","",IFERROR(INDEX('Fontes e Parcerias'!$C$5:$C$500,MATCH(IFERROR(LEFT(E98,FIND(" · ",E98)-1),E98),'Fontes e Parcerias'!$A$5:$A$500,0)),"Fonte não encontrada"))</f>
        <v/>
      </c>
      <c r="G98" s="103"/>
      <c r="H98" s="102"/>
      <c r="I98" s="102"/>
      <c r="J98" s="117"/>
      <c r="K98" s="103"/>
      <c r="L98" s="103"/>
      <c r="M98" s="99" t="str">
        <f aca="false">IF(OR(K98="",L98=""),"",IF((IF(L98="Alto",3,IF(L98="Médio",2,1))-IF(K98="Alto",3,IF(K98="Médio",2,1)))=2,"⚡ Quick win",IF((IF(L98="Alto",3,IF(L98="Médio",2,1))-IF(K98="Alto",3,IF(K98="Médio",2,1)))=1,"🚀 Alto retorno",IF(AND(L98="Alto",K98="Alto"),"🎯 Estratégica",IF((IF(L98="Alto",3,IF(L98="Médio",2,1))-IF(K98="Alto",3,IF(K98="Médio",2,1)))=0,"⚖ Equilibrada","⏳ Baixo retorno")))))</f>
        <v/>
      </c>
      <c r="N98" s="102"/>
      <c r="O98" s="102"/>
      <c r="P98" s="103"/>
      <c r="Q98" s="102"/>
      <c r="R98" s="104"/>
      <c r="S98" s="102"/>
      <c r="T98" s="104"/>
      <c r="U98" s="102"/>
    </row>
    <row r="99" customFormat="false" ht="15" hidden="false" customHeight="false" outlineLevel="0" collapsed="false">
      <c r="A99" s="93" t="s">
        <v>778</v>
      </c>
      <c r="B99" s="105"/>
      <c r="C99" s="105"/>
      <c r="D99" s="105"/>
      <c r="E99" s="105"/>
      <c r="F99" s="99" t="str">
        <f aca="false">IF(E99="","",IFERROR(INDEX('Fontes e Parcerias'!$C$5:$C$500,MATCH(IFERROR(LEFT(E99,FIND(" · ",E99)-1),E99),'Fontes e Parcerias'!$A$5:$A$500,0)),"Fonte não encontrada"))</f>
        <v/>
      </c>
      <c r="G99" s="106"/>
      <c r="H99" s="105"/>
      <c r="I99" s="105"/>
      <c r="J99" s="118"/>
      <c r="K99" s="106"/>
      <c r="L99" s="106"/>
      <c r="M99" s="99" t="str">
        <f aca="false">IF(OR(K99="",L99=""),"",IF((IF(L99="Alto",3,IF(L99="Médio",2,1))-IF(K99="Alto",3,IF(K99="Médio",2,1)))=2,"⚡ Quick win",IF((IF(L99="Alto",3,IF(L99="Médio",2,1))-IF(K99="Alto",3,IF(K99="Médio",2,1)))=1,"🚀 Alto retorno",IF(AND(L99="Alto",K99="Alto"),"🎯 Estratégica",IF((IF(L99="Alto",3,IF(L99="Médio",2,1))-IF(K99="Alto",3,IF(K99="Médio",2,1)))=0,"⚖ Equilibrada","⏳ Baixo retorno")))))</f>
        <v/>
      </c>
      <c r="N99" s="105"/>
      <c r="O99" s="105"/>
      <c r="P99" s="106"/>
      <c r="Q99" s="105"/>
      <c r="R99" s="107"/>
      <c r="S99" s="105"/>
      <c r="T99" s="107"/>
      <c r="U99" s="105"/>
    </row>
    <row r="100" customFormat="false" ht="15" hidden="false" customHeight="false" outlineLevel="0" collapsed="false">
      <c r="A100" s="101" t="s">
        <v>779</v>
      </c>
      <c r="B100" s="102"/>
      <c r="C100" s="102"/>
      <c r="D100" s="102"/>
      <c r="E100" s="102"/>
      <c r="F100" s="99" t="str">
        <f aca="false">IF(E100="","",IFERROR(INDEX('Fontes e Parcerias'!$C$5:$C$500,MATCH(IFERROR(LEFT(E100,FIND(" · ",E100)-1),E100),'Fontes e Parcerias'!$A$5:$A$500,0)),"Fonte não encontrada"))</f>
        <v/>
      </c>
      <c r="G100" s="103"/>
      <c r="H100" s="102"/>
      <c r="I100" s="102"/>
      <c r="J100" s="117"/>
      <c r="K100" s="103"/>
      <c r="L100" s="103"/>
      <c r="M100" s="99" t="str">
        <f aca="false">IF(OR(K100="",L100=""),"",IF((IF(L100="Alto",3,IF(L100="Médio",2,1))-IF(K100="Alto",3,IF(K100="Médio",2,1)))=2,"⚡ Quick win",IF((IF(L100="Alto",3,IF(L100="Médio",2,1))-IF(K100="Alto",3,IF(K100="Médio",2,1)))=1,"🚀 Alto retorno",IF(AND(L100="Alto",K100="Alto"),"🎯 Estratégica",IF((IF(L100="Alto",3,IF(L100="Médio",2,1))-IF(K100="Alto",3,IF(K100="Médio",2,1)))=0,"⚖ Equilibrada","⏳ Baixo retorno")))))</f>
        <v/>
      </c>
      <c r="N100" s="102"/>
      <c r="O100" s="102"/>
      <c r="P100" s="103"/>
      <c r="Q100" s="102"/>
      <c r="R100" s="104"/>
      <c r="S100" s="102"/>
      <c r="T100" s="104"/>
      <c r="U100" s="102"/>
    </row>
    <row r="101" customFormat="false" ht="15" hidden="false" customHeight="false" outlineLevel="0" collapsed="false">
      <c r="A101" s="93" t="s">
        <v>780</v>
      </c>
      <c r="B101" s="105"/>
      <c r="C101" s="105"/>
      <c r="D101" s="105"/>
      <c r="E101" s="105"/>
      <c r="F101" s="99" t="str">
        <f aca="false">IF(E101="","",IFERROR(INDEX('Fontes e Parcerias'!$C$5:$C$500,MATCH(IFERROR(LEFT(E101,FIND(" · ",E101)-1),E101),'Fontes e Parcerias'!$A$5:$A$500,0)),"Fonte não encontrada"))</f>
        <v/>
      </c>
      <c r="G101" s="106"/>
      <c r="H101" s="105"/>
      <c r="I101" s="105"/>
      <c r="J101" s="118"/>
      <c r="K101" s="106"/>
      <c r="L101" s="106"/>
      <c r="M101" s="99" t="str">
        <f aca="false">IF(OR(K101="",L101=""),"",IF((IF(L101="Alto",3,IF(L101="Médio",2,1))-IF(K101="Alto",3,IF(K101="Médio",2,1)))=2,"⚡ Quick win",IF((IF(L101="Alto",3,IF(L101="Médio",2,1))-IF(K101="Alto",3,IF(K101="Médio",2,1)))=1,"🚀 Alto retorno",IF(AND(L101="Alto",K101="Alto"),"🎯 Estratégica",IF((IF(L101="Alto",3,IF(L101="Médio",2,1))-IF(K101="Alto",3,IF(K101="Médio",2,1)))=0,"⚖ Equilibrada","⏳ Baixo retorno")))))</f>
        <v/>
      </c>
      <c r="N101" s="105"/>
      <c r="O101" s="105"/>
      <c r="P101" s="106"/>
      <c r="Q101" s="105"/>
      <c r="R101" s="107"/>
      <c r="S101" s="105"/>
      <c r="T101" s="107"/>
      <c r="U101" s="105"/>
    </row>
    <row r="102" customFormat="false" ht="15" hidden="false" customHeight="false" outlineLevel="0" collapsed="false">
      <c r="A102" s="101" t="s">
        <v>781</v>
      </c>
      <c r="B102" s="102"/>
      <c r="C102" s="102"/>
      <c r="D102" s="102"/>
      <c r="E102" s="102"/>
      <c r="F102" s="99" t="str">
        <f aca="false">IF(E102="","",IFERROR(INDEX('Fontes e Parcerias'!$C$5:$C$500,MATCH(IFERROR(LEFT(E102,FIND(" · ",E102)-1),E102),'Fontes e Parcerias'!$A$5:$A$500,0)),"Fonte não encontrada"))</f>
        <v/>
      </c>
      <c r="G102" s="103"/>
      <c r="H102" s="102"/>
      <c r="I102" s="102"/>
      <c r="J102" s="117"/>
      <c r="K102" s="103"/>
      <c r="L102" s="103"/>
      <c r="M102" s="99" t="str">
        <f aca="false">IF(OR(K102="",L102=""),"",IF((IF(L102="Alto",3,IF(L102="Médio",2,1))-IF(K102="Alto",3,IF(K102="Médio",2,1)))=2,"⚡ Quick win",IF((IF(L102="Alto",3,IF(L102="Médio",2,1))-IF(K102="Alto",3,IF(K102="Médio",2,1)))=1,"🚀 Alto retorno",IF(AND(L102="Alto",K102="Alto"),"🎯 Estratégica",IF((IF(L102="Alto",3,IF(L102="Médio",2,1))-IF(K102="Alto",3,IF(K102="Médio",2,1)))=0,"⚖ Equilibrada","⏳ Baixo retorno")))))</f>
        <v/>
      </c>
      <c r="N102" s="102"/>
      <c r="O102" s="102"/>
      <c r="P102" s="103"/>
      <c r="Q102" s="102"/>
      <c r="R102" s="104"/>
      <c r="S102" s="102"/>
      <c r="T102" s="104"/>
      <c r="U102" s="102"/>
    </row>
    <row r="103" customFormat="false" ht="15" hidden="false" customHeight="false" outlineLevel="0" collapsed="false">
      <c r="A103" s="93" t="s">
        <v>782</v>
      </c>
      <c r="B103" s="105"/>
      <c r="C103" s="105"/>
      <c r="D103" s="105"/>
      <c r="E103" s="105"/>
      <c r="F103" s="99" t="str">
        <f aca="false">IF(E103="","",IFERROR(INDEX('Fontes e Parcerias'!$C$5:$C$500,MATCH(IFERROR(LEFT(E103,FIND(" · ",E103)-1),E103),'Fontes e Parcerias'!$A$5:$A$500,0)),"Fonte não encontrada"))</f>
        <v/>
      </c>
      <c r="G103" s="106"/>
      <c r="H103" s="105"/>
      <c r="I103" s="105"/>
      <c r="J103" s="118"/>
      <c r="K103" s="106"/>
      <c r="L103" s="106"/>
      <c r="M103" s="99" t="str">
        <f aca="false">IF(OR(K103="",L103=""),"",IF((IF(L103="Alto",3,IF(L103="Médio",2,1))-IF(K103="Alto",3,IF(K103="Médio",2,1)))=2,"⚡ Quick win",IF((IF(L103="Alto",3,IF(L103="Médio",2,1))-IF(K103="Alto",3,IF(K103="Médio",2,1)))=1,"🚀 Alto retorno",IF(AND(L103="Alto",K103="Alto"),"🎯 Estratégica",IF((IF(L103="Alto",3,IF(L103="Médio",2,1))-IF(K103="Alto",3,IF(K103="Médio",2,1)))=0,"⚖ Equilibrada","⏳ Baixo retorno")))))</f>
        <v/>
      </c>
      <c r="N103" s="105"/>
      <c r="O103" s="105"/>
      <c r="P103" s="106"/>
      <c r="Q103" s="105"/>
      <c r="R103" s="107"/>
      <c r="S103" s="105"/>
      <c r="T103" s="107"/>
      <c r="U103" s="105"/>
    </row>
    <row r="104" customFormat="false" ht="15" hidden="false" customHeight="false" outlineLevel="0" collapsed="false">
      <c r="A104" s="101" t="s">
        <v>783</v>
      </c>
      <c r="B104" s="102"/>
      <c r="C104" s="102"/>
      <c r="D104" s="102"/>
      <c r="E104" s="102"/>
      <c r="F104" s="99" t="str">
        <f aca="false">IF(E104="","",IFERROR(INDEX('Fontes e Parcerias'!$C$5:$C$500,MATCH(IFERROR(LEFT(E104,FIND(" · ",E104)-1),E104),'Fontes e Parcerias'!$A$5:$A$500,0)),"Fonte não encontrada"))</f>
        <v/>
      </c>
      <c r="G104" s="103"/>
      <c r="H104" s="102"/>
      <c r="I104" s="102"/>
      <c r="J104" s="117"/>
      <c r="K104" s="103"/>
      <c r="L104" s="103"/>
      <c r="M104" s="99" t="str">
        <f aca="false">IF(OR(K104="",L104=""),"",IF((IF(L104="Alto",3,IF(L104="Médio",2,1))-IF(K104="Alto",3,IF(K104="Médio",2,1)))=2,"⚡ Quick win",IF((IF(L104="Alto",3,IF(L104="Médio",2,1))-IF(K104="Alto",3,IF(K104="Médio",2,1)))=1,"🚀 Alto retorno",IF(AND(L104="Alto",K104="Alto"),"🎯 Estratégica",IF((IF(L104="Alto",3,IF(L104="Médio",2,1))-IF(K104="Alto",3,IF(K104="Médio",2,1)))=0,"⚖ Equilibrada","⏳ Baixo retorno")))))</f>
        <v/>
      </c>
      <c r="N104" s="102"/>
      <c r="O104" s="102"/>
      <c r="P104" s="103"/>
      <c r="Q104" s="102"/>
      <c r="R104" s="104"/>
      <c r="S104" s="102"/>
      <c r="T104" s="104"/>
      <c r="U104" s="102"/>
    </row>
  </sheetData>
  <autoFilter ref="A4:U104"/>
  <mergeCells count="7">
    <mergeCell ref="A3:D3"/>
    <mergeCell ref="E3:G3"/>
    <mergeCell ref="H3:J3"/>
    <mergeCell ref="K3:M3"/>
    <mergeCell ref="N3:O3"/>
    <mergeCell ref="P3:R3"/>
    <mergeCell ref="S3:U3"/>
  </mergeCells>
  <conditionalFormatting sqref="A5:A500">
    <cfRule type="expression" priority="2" aboveAverage="0" equalAverage="0" bottom="0" percent="0" rank="0" text="" dxfId="13">
      <formula>$B5&lt;&gt;""</formula>
    </cfRule>
  </conditionalFormatting>
  <conditionalFormatting sqref="P5:P500">
    <cfRule type="expression" priority="3" aboveAverage="0" equalAverage="0" bottom="0" percent="0" rank="0" text="" dxfId="14">
      <formula>$P5="Implantada"</formula>
    </cfRule>
    <cfRule type="expression" priority="4" aboveAverage="0" equalAverage="0" bottom="0" percent="0" rank="0" text="" dxfId="15">
      <formula>$P5="Em implantação"</formula>
    </cfRule>
    <cfRule type="expression" priority="5" aboveAverage="0" equalAverage="0" bottom="0" percent="0" rank="0" text="" dxfId="16">
      <formula>$P5="Aprovada"</formula>
    </cfRule>
    <cfRule type="expression" priority="6" aboveAverage="0" equalAverage="0" bottom="0" percent="0" rank="0" text="" dxfId="17">
      <formula>$P5="Em análise"</formula>
    </cfRule>
    <cfRule type="expression" priority="7" aboveAverage="0" equalAverage="0" bottom="0" percent="0" rank="0" text="" dxfId="31">
      <formula>$P5="Ideia"</formula>
    </cfRule>
    <cfRule type="expression" priority="8" aboveAverage="0" equalAverage="0" bottom="0" percent="0" rank="0" text="" dxfId="18">
      <formula>$P5="Descartada"</formula>
    </cfRule>
  </conditionalFormatting>
  <conditionalFormatting sqref="M5:M500">
    <cfRule type="expression" priority="9" aboveAverage="0" equalAverage="0" bottom="0" percent="0" rank="0" text="" dxfId="14">
      <formula>ISNUMBER(SEARCH("Quick win",$M5))</formula>
    </cfRule>
    <cfRule type="expression" priority="10" aboveAverage="0" equalAverage="0" bottom="0" percent="0" rank="0" text="" dxfId="29">
      <formula>ISNUMBER(SEARCH("Alto retorno",$M5))</formula>
    </cfRule>
    <cfRule type="expression" priority="11" aboveAverage="0" equalAverage="0" bottom="0" percent="0" rank="0" text="" dxfId="34">
      <formula>ISNUMBER(SEARCH("Estratégica",$M5))</formula>
    </cfRule>
    <cfRule type="expression" priority="12" aboveAverage="0" equalAverage="0" bottom="0" percent="0" rank="0" text="" dxfId="28">
      <formula>ISNUMBER(SEARCH("Equilibrada",$M5))</formula>
    </cfRule>
    <cfRule type="expression" priority="13" aboveAverage="0" equalAverage="0" bottom="0" percent="0" rank="0" text="" dxfId="35">
      <formula>ISNUMBER(SEARCH("Baixo retorno",$M5))</formula>
    </cfRule>
  </conditionalFormatting>
  <conditionalFormatting sqref="K5:K500">
    <cfRule type="expression" priority="14" aboveAverage="0" equalAverage="0" bottom="0" percent="0" rank="0" text="" dxfId="16">
      <formula>$K5="Baixo"</formula>
    </cfRule>
    <cfRule type="expression" priority="15" aboveAverage="0" equalAverage="0" bottom="0" percent="0" rank="0" text="" dxfId="17">
      <formula>$K5="Médio"</formula>
    </cfRule>
    <cfRule type="expression" priority="16" aboveAverage="0" equalAverage="0" bottom="0" percent="0" rank="0" text="" dxfId="30">
      <formula>$K5="Alto"</formula>
    </cfRule>
  </conditionalFormatting>
  <conditionalFormatting sqref="L5:L500">
    <cfRule type="expression" priority="17" aboveAverage="0" equalAverage="0" bottom="0" percent="0" rank="0" text="" dxfId="16">
      <formula>$L5="Alto"</formula>
    </cfRule>
    <cfRule type="expression" priority="18" aboveAverage="0" equalAverage="0" bottom="0" percent="0" rank="0" text="" dxfId="17">
      <formula>$L5="Médio"</formula>
    </cfRule>
    <cfRule type="expression" priority="19" aboveAverage="0" equalAverage="0" bottom="0" percent="0" rank="0" text="" dxfId="36">
      <formula>$L5="Baixo"</formula>
    </cfRule>
  </conditionalFormatting>
  <conditionalFormatting sqref="F5:F500">
    <cfRule type="expression" priority="20" aboveAverage="0" equalAverage="0" bottom="0" percent="0" rank="0" text="" dxfId="0">
      <formula>$F5="Fonte não encontrada"</formula>
    </cfRule>
  </conditionalFormatting>
  <conditionalFormatting sqref="R5:R500">
    <cfRule type="expression" priority="21" aboveAverage="0" equalAverage="0" bottom="0" percent="0" rank="0" text="" dxfId="0">
      <formula>AND($R5&lt;&gt;"",$R5&lt;TODAY(),$P5&lt;&gt;"Implantada",$P5&lt;&gt;"Descartada")</formula>
    </cfRule>
  </conditionalFormatting>
  <dataValidations count="8">
    <dataValidation allowBlank="true" error="Digite uma data válida no formato dd/mm/aaaa." errorStyle="stop" errorTitle="Data inválida" operator="greaterThan" showDropDown="false" showErrorMessage="true" showInputMessage="false" sqref="R5:R500 T5:T500" type="date">
      <formula1>36526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C5:C500" type="list">
      <formula1>lst_Prob_GER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lst_Fontes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G5:G500" type="list">
      <formula1>lst_ComoDescobrimos</formula1>
      <formula2>0</formula2>
    </dataValidation>
    <dataValidation allowBlank="true" error="Digite um valor numérico maior ou igual a zero (ex.: 350 ou 0)." errorStyle="stop" errorTitle="Valor inválido" operator="greaterThanOrEqual" showDropDown="false" showErrorMessage="true" showInputMessage="false" sqref="J5:J500" type="decimal">
      <formula1>0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K5:K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P5:P500" type="list">
      <formula1>lst_StatusSolucao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9C9E"/>
    <pageSetUpPr fitToPage="true"/>
  </sheetPr>
  <dimension ref="A1:R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.51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5" min="5" style="0" width="17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34"/>
    <col collapsed="false" customWidth="true" hidden="false" outlineLevel="0" max="12" min="12" style="0" width="22"/>
    <col collapsed="false" customWidth="true" hidden="false" outlineLevel="0" max="13" min="13" style="0" width="17"/>
    <col collapsed="false" customWidth="true" hidden="false" outlineLevel="0" max="15" min="14" style="0" width="12"/>
    <col collapsed="false" customWidth="true" hidden="false" outlineLevel="0" max="16" min="16" style="0" width="17"/>
    <col collapsed="false" customWidth="true" hidden="false" outlineLevel="0" max="17" min="17" style="0" width="34"/>
    <col collapsed="false" customWidth="true" hidden="true" outlineLevel="1" max="18" min="18" style="0" width="30"/>
  </cols>
  <sheetData>
    <row r="1" customFormat="false" ht="31.5" hidden="false" customHeight="true" outlineLevel="0" collapsed="false">
      <c r="A1" s="83" t="s">
        <v>784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119" t="s">
        <v>70</v>
      </c>
      <c r="B2" s="120" t="str">
        <f aca="false">"Problemas que o CEMP tem ou pode ter em: Mentoring   ·   "&amp;COUNTA(B5:B500)&amp;" registro(s)"</f>
        <v>Problemas que o CEMP tem ou pode ter em: Mentoring   ·   1 registro(s)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</row>
    <row r="3" customFormat="false" ht="16.5" hidden="false" customHeight="true" outlineLevel="0" collapsed="false">
      <c r="A3" s="87" t="s">
        <v>520</v>
      </c>
      <c r="B3" s="87"/>
      <c r="C3" s="87"/>
      <c r="D3" s="87"/>
      <c r="E3" s="87"/>
      <c r="F3" s="87"/>
      <c r="G3" s="88" t="s">
        <v>521</v>
      </c>
      <c r="H3" s="88"/>
      <c r="I3" s="88"/>
      <c r="J3" s="88"/>
      <c r="K3" s="89" t="s">
        <v>522</v>
      </c>
      <c r="L3" s="89"/>
      <c r="M3" s="89"/>
      <c r="N3" s="89"/>
      <c r="O3" s="90" t="s">
        <v>523</v>
      </c>
      <c r="P3" s="90"/>
      <c r="Q3" s="90"/>
      <c r="R3" s="90"/>
    </row>
    <row r="4" customFormat="false" ht="42" hidden="false" customHeight="true" outlineLevel="0" collapsed="false">
      <c r="A4" s="122" t="s">
        <v>118</v>
      </c>
      <c r="B4" s="122" t="s">
        <v>524</v>
      </c>
      <c r="C4" s="122" t="s">
        <v>525</v>
      </c>
      <c r="D4" s="122" t="s">
        <v>526</v>
      </c>
      <c r="E4" s="122" t="s">
        <v>527</v>
      </c>
      <c r="F4" s="122" t="s">
        <v>528</v>
      </c>
      <c r="G4" s="122" t="s">
        <v>529</v>
      </c>
      <c r="H4" s="122" t="s">
        <v>530</v>
      </c>
      <c r="I4" s="92" t="s">
        <v>531</v>
      </c>
      <c r="J4" s="92" t="s">
        <v>532</v>
      </c>
      <c r="K4" s="122" t="s">
        <v>533</v>
      </c>
      <c r="L4" s="122" t="s">
        <v>534</v>
      </c>
      <c r="M4" s="122" t="s">
        <v>97</v>
      </c>
      <c r="N4" s="92" t="s">
        <v>535</v>
      </c>
      <c r="O4" s="122" t="s">
        <v>536</v>
      </c>
      <c r="P4" s="122" t="s">
        <v>537</v>
      </c>
      <c r="Q4" s="122" t="s">
        <v>538</v>
      </c>
      <c r="R4" s="92" t="s">
        <v>136</v>
      </c>
    </row>
    <row r="5" customFormat="false" ht="23.85" hidden="false" customHeight="false" outlineLevel="0" collapsed="false">
      <c r="A5" s="93" t="s">
        <v>785</v>
      </c>
      <c r="B5" s="94" t="s">
        <v>786</v>
      </c>
      <c r="C5" s="94" t="s">
        <v>787</v>
      </c>
      <c r="D5" s="94" t="s">
        <v>788</v>
      </c>
      <c r="E5" s="95" t="s">
        <v>80</v>
      </c>
      <c r="F5" s="94" t="s">
        <v>789</v>
      </c>
      <c r="G5" s="95" t="n">
        <v>4</v>
      </c>
      <c r="H5" s="95" t="n">
        <v>3</v>
      </c>
      <c r="I5" s="96" t="n">
        <f aca="false">IF(OR(G5="",H5=""),"",G5*H5)</f>
        <v>12</v>
      </c>
      <c r="J5" s="99" t="str">
        <f aca="false">IF(I5="","",IF(I5&gt;=15,"Crítica",IF(I5&gt;=9,"Alta",IF(I5&gt;=4,"Média","Baixa"))))</f>
        <v>Alta</v>
      </c>
      <c r="K5" s="94" t="s">
        <v>790</v>
      </c>
      <c r="L5" s="94" t="s">
        <v>791</v>
      </c>
      <c r="M5" s="95" t="s">
        <v>100</v>
      </c>
      <c r="N5" s="96" t="n">
        <f aca="false">IF(B5="","",COUNTIF('Mentoring - Soluções'!$C$5:$C$500,A5&amp;"*"))</f>
        <v>1</v>
      </c>
      <c r="O5" s="98" t="n">
        <v>46293</v>
      </c>
      <c r="P5" s="94" t="s">
        <v>547</v>
      </c>
      <c r="Q5" s="94" t="s">
        <v>548</v>
      </c>
      <c r="R5" s="100" t="str">
        <f aca="false">IF(B5="","",A5&amp;" · "&amp;B5)</f>
        <v>MEN-P001 · [EXEMPLO] Desistência de mentorados ao longo do ciclo</v>
      </c>
    </row>
    <row r="6" customFormat="false" ht="15" hidden="false" customHeight="false" outlineLevel="0" collapsed="false">
      <c r="A6" s="101" t="s">
        <v>792</v>
      </c>
      <c r="B6" s="102"/>
      <c r="C6" s="102"/>
      <c r="D6" s="102"/>
      <c r="E6" s="103"/>
      <c r="F6" s="102"/>
      <c r="G6" s="103"/>
      <c r="H6" s="103"/>
      <c r="I6" s="96" t="str">
        <f aca="false">IF(OR(G6="",H6=""),"",G6*H6)</f>
        <v/>
      </c>
      <c r="J6" s="99" t="str">
        <f aca="false">IF(I6="","",IF(I6&gt;=15,"Crítica",IF(I6&gt;=9,"Alta",IF(I6&gt;=4,"Média","Baixa"))))</f>
        <v/>
      </c>
      <c r="K6" s="102"/>
      <c r="L6" s="102"/>
      <c r="M6" s="103"/>
      <c r="N6" s="96" t="str">
        <f aca="false">IF(B6="","",COUNTIF('Mentoring - Soluções'!$C$5:$C$500,A6&amp;"*"))</f>
        <v/>
      </c>
      <c r="O6" s="104"/>
      <c r="P6" s="102"/>
      <c r="Q6" s="102"/>
      <c r="R6" s="100" t="str">
        <f aca="false">IF(B6="","",A6&amp;" · "&amp;B6)</f>
        <v/>
      </c>
    </row>
    <row r="7" customFormat="false" ht="15" hidden="false" customHeight="false" outlineLevel="0" collapsed="false">
      <c r="A7" s="93" t="s">
        <v>793</v>
      </c>
      <c r="B7" s="105"/>
      <c r="C7" s="105"/>
      <c r="D7" s="105"/>
      <c r="E7" s="106"/>
      <c r="F7" s="105"/>
      <c r="G7" s="106"/>
      <c r="H7" s="106"/>
      <c r="I7" s="96" t="str">
        <f aca="false">IF(OR(G7="",H7=""),"",G7*H7)</f>
        <v/>
      </c>
      <c r="J7" s="99" t="str">
        <f aca="false">IF(I7="","",IF(I7&gt;=15,"Crítica",IF(I7&gt;=9,"Alta",IF(I7&gt;=4,"Média","Baixa"))))</f>
        <v/>
      </c>
      <c r="K7" s="105"/>
      <c r="L7" s="105"/>
      <c r="M7" s="106"/>
      <c r="N7" s="96" t="str">
        <f aca="false">IF(B7="","",COUNTIF('Mentoring - Soluções'!$C$5:$C$500,A7&amp;"*"))</f>
        <v/>
      </c>
      <c r="O7" s="107"/>
      <c r="P7" s="105"/>
      <c r="Q7" s="105"/>
      <c r="R7" s="100" t="str">
        <f aca="false">IF(B7="","",A7&amp;" · "&amp;B7)</f>
        <v/>
      </c>
    </row>
    <row r="8" customFormat="false" ht="15" hidden="false" customHeight="false" outlineLevel="0" collapsed="false">
      <c r="A8" s="101" t="s">
        <v>794</v>
      </c>
      <c r="B8" s="102"/>
      <c r="C8" s="102"/>
      <c r="D8" s="102"/>
      <c r="E8" s="103"/>
      <c r="F8" s="102"/>
      <c r="G8" s="103"/>
      <c r="H8" s="103"/>
      <c r="I8" s="96" t="str">
        <f aca="false">IF(OR(G8="",H8=""),"",G8*H8)</f>
        <v/>
      </c>
      <c r="J8" s="99" t="str">
        <f aca="false">IF(I8="","",IF(I8&gt;=15,"Crítica",IF(I8&gt;=9,"Alta",IF(I8&gt;=4,"Média","Baixa"))))</f>
        <v/>
      </c>
      <c r="K8" s="102"/>
      <c r="L8" s="102"/>
      <c r="M8" s="103"/>
      <c r="N8" s="96" t="str">
        <f aca="false">IF(B8="","",COUNTIF('Mentoring - Soluções'!$C$5:$C$500,A8&amp;"*"))</f>
        <v/>
      </c>
      <c r="O8" s="104"/>
      <c r="P8" s="102"/>
      <c r="Q8" s="102"/>
      <c r="R8" s="100" t="str">
        <f aca="false">IF(B8="","",A8&amp;" · "&amp;B8)</f>
        <v/>
      </c>
    </row>
    <row r="9" customFormat="false" ht="15" hidden="false" customHeight="false" outlineLevel="0" collapsed="false">
      <c r="A9" s="93" t="s">
        <v>795</v>
      </c>
      <c r="B9" s="105"/>
      <c r="C9" s="105"/>
      <c r="D9" s="105"/>
      <c r="E9" s="106"/>
      <c r="F9" s="105"/>
      <c r="G9" s="106"/>
      <c r="H9" s="106"/>
      <c r="I9" s="96" t="str">
        <f aca="false">IF(OR(G9="",H9=""),"",G9*H9)</f>
        <v/>
      </c>
      <c r="J9" s="99" t="str">
        <f aca="false">IF(I9="","",IF(I9&gt;=15,"Crítica",IF(I9&gt;=9,"Alta",IF(I9&gt;=4,"Média","Baixa"))))</f>
        <v/>
      </c>
      <c r="K9" s="105"/>
      <c r="L9" s="105"/>
      <c r="M9" s="106"/>
      <c r="N9" s="96" t="str">
        <f aca="false">IF(B9="","",COUNTIF('Mentoring - Soluções'!$C$5:$C$500,A9&amp;"*"))</f>
        <v/>
      </c>
      <c r="O9" s="107"/>
      <c r="P9" s="105"/>
      <c r="Q9" s="105"/>
      <c r="R9" s="100" t="str">
        <f aca="false">IF(B9="","",A9&amp;" · "&amp;B9)</f>
        <v/>
      </c>
    </row>
    <row r="10" customFormat="false" ht="15" hidden="false" customHeight="false" outlineLevel="0" collapsed="false">
      <c r="A10" s="101" t="s">
        <v>796</v>
      </c>
      <c r="B10" s="102"/>
      <c r="C10" s="102"/>
      <c r="D10" s="102"/>
      <c r="E10" s="103"/>
      <c r="F10" s="102"/>
      <c r="G10" s="103"/>
      <c r="H10" s="103"/>
      <c r="I10" s="96" t="str">
        <f aca="false">IF(OR(G10="",H10=""),"",G10*H10)</f>
        <v/>
      </c>
      <c r="J10" s="99" t="str">
        <f aca="false">IF(I10="","",IF(I10&gt;=15,"Crítica",IF(I10&gt;=9,"Alta",IF(I10&gt;=4,"Média","Baixa"))))</f>
        <v/>
      </c>
      <c r="K10" s="102"/>
      <c r="L10" s="102"/>
      <c r="M10" s="103"/>
      <c r="N10" s="96" t="str">
        <f aca="false">IF(B10="","",COUNTIF('Mentoring - Soluções'!$C$5:$C$500,A10&amp;"*"))</f>
        <v/>
      </c>
      <c r="O10" s="104"/>
      <c r="P10" s="102"/>
      <c r="Q10" s="102"/>
      <c r="R10" s="100" t="str">
        <f aca="false">IF(B10="","",A10&amp;" · "&amp;B10)</f>
        <v/>
      </c>
    </row>
    <row r="11" customFormat="false" ht="15" hidden="false" customHeight="false" outlineLevel="0" collapsed="false">
      <c r="A11" s="93" t="s">
        <v>797</v>
      </c>
      <c r="B11" s="105"/>
      <c r="C11" s="105"/>
      <c r="D11" s="105"/>
      <c r="E11" s="106"/>
      <c r="F11" s="105"/>
      <c r="G11" s="106"/>
      <c r="H11" s="106"/>
      <c r="I11" s="96" t="str">
        <f aca="false">IF(OR(G11="",H11=""),"",G11*H11)</f>
        <v/>
      </c>
      <c r="J11" s="99" t="str">
        <f aca="false">IF(I11="","",IF(I11&gt;=15,"Crítica",IF(I11&gt;=9,"Alta",IF(I11&gt;=4,"Média","Baixa"))))</f>
        <v/>
      </c>
      <c r="K11" s="105"/>
      <c r="L11" s="105"/>
      <c r="M11" s="106"/>
      <c r="N11" s="96" t="str">
        <f aca="false">IF(B11="","",COUNTIF('Mentoring - Soluções'!$C$5:$C$500,A11&amp;"*"))</f>
        <v/>
      </c>
      <c r="O11" s="107"/>
      <c r="P11" s="105"/>
      <c r="Q11" s="105"/>
      <c r="R11" s="100" t="str">
        <f aca="false">IF(B11="","",A11&amp;" · "&amp;B11)</f>
        <v/>
      </c>
    </row>
    <row r="12" customFormat="false" ht="15" hidden="false" customHeight="false" outlineLevel="0" collapsed="false">
      <c r="A12" s="101" t="s">
        <v>798</v>
      </c>
      <c r="B12" s="102"/>
      <c r="C12" s="102"/>
      <c r="D12" s="102"/>
      <c r="E12" s="103"/>
      <c r="F12" s="102"/>
      <c r="G12" s="103"/>
      <c r="H12" s="103"/>
      <c r="I12" s="96" t="str">
        <f aca="false">IF(OR(G12="",H12=""),"",G12*H12)</f>
        <v/>
      </c>
      <c r="J12" s="99" t="str">
        <f aca="false">IF(I12="","",IF(I12&gt;=15,"Crítica",IF(I12&gt;=9,"Alta",IF(I12&gt;=4,"Média","Baixa"))))</f>
        <v/>
      </c>
      <c r="K12" s="102"/>
      <c r="L12" s="102"/>
      <c r="M12" s="103"/>
      <c r="N12" s="96" t="str">
        <f aca="false">IF(B12="","",COUNTIF('Mentoring - Soluções'!$C$5:$C$500,A12&amp;"*"))</f>
        <v/>
      </c>
      <c r="O12" s="104"/>
      <c r="P12" s="102"/>
      <c r="Q12" s="102"/>
      <c r="R12" s="100" t="str">
        <f aca="false">IF(B12="","",A12&amp;" · "&amp;B12)</f>
        <v/>
      </c>
    </row>
    <row r="13" customFormat="false" ht="15" hidden="false" customHeight="false" outlineLevel="0" collapsed="false">
      <c r="A13" s="93" t="s">
        <v>799</v>
      </c>
      <c r="B13" s="105"/>
      <c r="C13" s="105"/>
      <c r="D13" s="105"/>
      <c r="E13" s="106"/>
      <c r="F13" s="105"/>
      <c r="G13" s="106"/>
      <c r="H13" s="106"/>
      <c r="I13" s="96" t="str">
        <f aca="false">IF(OR(G13="",H13=""),"",G13*H13)</f>
        <v/>
      </c>
      <c r="J13" s="99" t="str">
        <f aca="false">IF(I13="","",IF(I13&gt;=15,"Crítica",IF(I13&gt;=9,"Alta",IF(I13&gt;=4,"Média","Baixa"))))</f>
        <v/>
      </c>
      <c r="K13" s="105"/>
      <c r="L13" s="105"/>
      <c r="M13" s="106"/>
      <c r="N13" s="96" t="str">
        <f aca="false">IF(B13="","",COUNTIF('Mentoring - Soluções'!$C$5:$C$500,A13&amp;"*"))</f>
        <v/>
      </c>
      <c r="O13" s="107"/>
      <c r="P13" s="105"/>
      <c r="Q13" s="105"/>
      <c r="R13" s="100" t="str">
        <f aca="false">IF(B13="","",A13&amp;" · "&amp;B13)</f>
        <v/>
      </c>
    </row>
    <row r="14" customFormat="false" ht="15" hidden="false" customHeight="false" outlineLevel="0" collapsed="false">
      <c r="A14" s="101" t="s">
        <v>800</v>
      </c>
      <c r="B14" s="102"/>
      <c r="C14" s="102"/>
      <c r="D14" s="102"/>
      <c r="E14" s="103"/>
      <c r="F14" s="102"/>
      <c r="G14" s="103"/>
      <c r="H14" s="103"/>
      <c r="I14" s="96" t="str">
        <f aca="false">IF(OR(G14="",H14=""),"",G14*H14)</f>
        <v/>
      </c>
      <c r="J14" s="99" t="str">
        <f aca="false">IF(I14="","",IF(I14&gt;=15,"Crítica",IF(I14&gt;=9,"Alta",IF(I14&gt;=4,"Média","Baixa"))))</f>
        <v/>
      </c>
      <c r="K14" s="102"/>
      <c r="L14" s="102"/>
      <c r="M14" s="103"/>
      <c r="N14" s="96" t="str">
        <f aca="false">IF(B14="","",COUNTIF('Mentoring - Soluções'!$C$5:$C$500,A14&amp;"*"))</f>
        <v/>
      </c>
      <c r="O14" s="104"/>
      <c r="P14" s="102"/>
      <c r="Q14" s="102"/>
      <c r="R14" s="100" t="str">
        <f aca="false">IF(B14="","",A14&amp;" · "&amp;B14)</f>
        <v/>
      </c>
    </row>
    <row r="15" customFormat="false" ht="15" hidden="false" customHeight="false" outlineLevel="0" collapsed="false">
      <c r="A15" s="93" t="s">
        <v>801</v>
      </c>
      <c r="B15" s="105"/>
      <c r="C15" s="105"/>
      <c r="D15" s="105"/>
      <c r="E15" s="106"/>
      <c r="F15" s="105"/>
      <c r="G15" s="106"/>
      <c r="H15" s="106"/>
      <c r="I15" s="96" t="str">
        <f aca="false">IF(OR(G15="",H15=""),"",G15*H15)</f>
        <v/>
      </c>
      <c r="J15" s="99" t="str">
        <f aca="false">IF(I15="","",IF(I15&gt;=15,"Crítica",IF(I15&gt;=9,"Alta",IF(I15&gt;=4,"Média","Baixa"))))</f>
        <v/>
      </c>
      <c r="K15" s="105"/>
      <c r="L15" s="105"/>
      <c r="M15" s="106"/>
      <c r="N15" s="96" t="str">
        <f aca="false">IF(B15="","",COUNTIF('Mentoring - Soluções'!$C$5:$C$500,A15&amp;"*"))</f>
        <v/>
      </c>
      <c r="O15" s="107"/>
      <c r="P15" s="105"/>
      <c r="Q15" s="105"/>
      <c r="R15" s="100" t="str">
        <f aca="false">IF(B15="","",A15&amp;" · "&amp;B15)</f>
        <v/>
      </c>
    </row>
    <row r="16" customFormat="false" ht="15" hidden="false" customHeight="false" outlineLevel="0" collapsed="false">
      <c r="A16" s="101" t="s">
        <v>802</v>
      </c>
      <c r="B16" s="102"/>
      <c r="C16" s="102"/>
      <c r="D16" s="102"/>
      <c r="E16" s="103"/>
      <c r="F16" s="102"/>
      <c r="G16" s="103"/>
      <c r="H16" s="103"/>
      <c r="I16" s="96" t="str">
        <f aca="false">IF(OR(G16="",H16=""),"",G16*H16)</f>
        <v/>
      </c>
      <c r="J16" s="99" t="str">
        <f aca="false">IF(I16="","",IF(I16&gt;=15,"Crítica",IF(I16&gt;=9,"Alta",IF(I16&gt;=4,"Média","Baixa"))))</f>
        <v/>
      </c>
      <c r="K16" s="102"/>
      <c r="L16" s="102"/>
      <c r="M16" s="103"/>
      <c r="N16" s="96" t="str">
        <f aca="false">IF(B16="","",COUNTIF('Mentoring - Soluções'!$C$5:$C$500,A16&amp;"*"))</f>
        <v/>
      </c>
      <c r="O16" s="104"/>
      <c r="P16" s="102"/>
      <c r="Q16" s="102"/>
      <c r="R16" s="100" t="str">
        <f aca="false">IF(B16="","",A16&amp;" · "&amp;B16)</f>
        <v/>
      </c>
    </row>
    <row r="17" customFormat="false" ht="15" hidden="false" customHeight="false" outlineLevel="0" collapsed="false">
      <c r="A17" s="93" t="s">
        <v>803</v>
      </c>
      <c r="B17" s="105"/>
      <c r="C17" s="105"/>
      <c r="D17" s="105"/>
      <c r="E17" s="106"/>
      <c r="F17" s="105"/>
      <c r="G17" s="106"/>
      <c r="H17" s="106"/>
      <c r="I17" s="96" t="str">
        <f aca="false">IF(OR(G17="",H17=""),"",G17*H17)</f>
        <v/>
      </c>
      <c r="J17" s="99" t="str">
        <f aca="false">IF(I17="","",IF(I17&gt;=15,"Crítica",IF(I17&gt;=9,"Alta",IF(I17&gt;=4,"Média","Baixa"))))</f>
        <v/>
      </c>
      <c r="K17" s="105"/>
      <c r="L17" s="105"/>
      <c r="M17" s="106"/>
      <c r="N17" s="96" t="str">
        <f aca="false">IF(B17="","",COUNTIF('Mentoring - Soluções'!$C$5:$C$500,A17&amp;"*"))</f>
        <v/>
      </c>
      <c r="O17" s="107"/>
      <c r="P17" s="105"/>
      <c r="Q17" s="105"/>
      <c r="R17" s="100" t="str">
        <f aca="false">IF(B17="","",A17&amp;" · "&amp;B17)</f>
        <v/>
      </c>
    </row>
    <row r="18" customFormat="false" ht="15" hidden="false" customHeight="false" outlineLevel="0" collapsed="false">
      <c r="A18" s="101" t="s">
        <v>804</v>
      </c>
      <c r="B18" s="102"/>
      <c r="C18" s="102"/>
      <c r="D18" s="102"/>
      <c r="E18" s="103"/>
      <c r="F18" s="102"/>
      <c r="G18" s="103"/>
      <c r="H18" s="103"/>
      <c r="I18" s="96" t="str">
        <f aca="false">IF(OR(G18="",H18=""),"",G18*H18)</f>
        <v/>
      </c>
      <c r="J18" s="99" t="str">
        <f aca="false">IF(I18="","",IF(I18&gt;=15,"Crítica",IF(I18&gt;=9,"Alta",IF(I18&gt;=4,"Média","Baixa"))))</f>
        <v/>
      </c>
      <c r="K18" s="102"/>
      <c r="L18" s="102"/>
      <c r="M18" s="103"/>
      <c r="N18" s="96" t="str">
        <f aca="false">IF(B18="","",COUNTIF('Mentoring - Soluções'!$C$5:$C$500,A18&amp;"*"))</f>
        <v/>
      </c>
      <c r="O18" s="104"/>
      <c r="P18" s="102"/>
      <c r="Q18" s="102"/>
      <c r="R18" s="100" t="str">
        <f aca="false">IF(B18="","",A18&amp;" · "&amp;B18)</f>
        <v/>
      </c>
    </row>
    <row r="19" customFormat="false" ht="15" hidden="false" customHeight="false" outlineLevel="0" collapsed="false">
      <c r="A19" s="93" t="s">
        <v>805</v>
      </c>
      <c r="B19" s="105"/>
      <c r="C19" s="105"/>
      <c r="D19" s="105"/>
      <c r="E19" s="106"/>
      <c r="F19" s="105"/>
      <c r="G19" s="106"/>
      <c r="H19" s="106"/>
      <c r="I19" s="96" t="str">
        <f aca="false">IF(OR(G19="",H19=""),"",G19*H19)</f>
        <v/>
      </c>
      <c r="J19" s="99" t="str">
        <f aca="false">IF(I19="","",IF(I19&gt;=15,"Crítica",IF(I19&gt;=9,"Alta",IF(I19&gt;=4,"Média","Baixa"))))</f>
        <v/>
      </c>
      <c r="K19" s="105"/>
      <c r="L19" s="105"/>
      <c r="M19" s="106"/>
      <c r="N19" s="96" t="str">
        <f aca="false">IF(B19="","",COUNTIF('Mentoring - Soluções'!$C$5:$C$500,A19&amp;"*"))</f>
        <v/>
      </c>
      <c r="O19" s="107"/>
      <c r="P19" s="105"/>
      <c r="Q19" s="105"/>
      <c r="R19" s="100" t="str">
        <f aca="false">IF(B19="","",A19&amp;" · "&amp;B19)</f>
        <v/>
      </c>
    </row>
    <row r="20" customFormat="false" ht="15" hidden="false" customHeight="false" outlineLevel="0" collapsed="false">
      <c r="A20" s="101" t="s">
        <v>806</v>
      </c>
      <c r="B20" s="102"/>
      <c r="C20" s="102"/>
      <c r="D20" s="102"/>
      <c r="E20" s="103"/>
      <c r="F20" s="102"/>
      <c r="G20" s="103"/>
      <c r="H20" s="103"/>
      <c r="I20" s="96" t="str">
        <f aca="false">IF(OR(G20="",H20=""),"",G20*H20)</f>
        <v/>
      </c>
      <c r="J20" s="99" t="str">
        <f aca="false">IF(I20="","",IF(I20&gt;=15,"Crítica",IF(I20&gt;=9,"Alta",IF(I20&gt;=4,"Média","Baixa"))))</f>
        <v/>
      </c>
      <c r="K20" s="102"/>
      <c r="L20" s="102"/>
      <c r="M20" s="103"/>
      <c r="N20" s="96" t="str">
        <f aca="false">IF(B20="","",COUNTIF('Mentoring - Soluções'!$C$5:$C$500,A20&amp;"*"))</f>
        <v/>
      </c>
      <c r="O20" s="104"/>
      <c r="P20" s="102"/>
      <c r="Q20" s="102"/>
      <c r="R20" s="100" t="str">
        <f aca="false">IF(B20="","",A20&amp;" · "&amp;B20)</f>
        <v/>
      </c>
    </row>
    <row r="21" customFormat="false" ht="15" hidden="false" customHeight="false" outlineLevel="0" collapsed="false">
      <c r="A21" s="93" t="s">
        <v>807</v>
      </c>
      <c r="B21" s="105"/>
      <c r="C21" s="105"/>
      <c r="D21" s="105"/>
      <c r="E21" s="106"/>
      <c r="F21" s="105"/>
      <c r="G21" s="106"/>
      <c r="H21" s="106"/>
      <c r="I21" s="96" t="str">
        <f aca="false">IF(OR(G21="",H21=""),"",G21*H21)</f>
        <v/>
      </c>
      <c r="J21" s="99" t="str">
        <f aca="false">IF(I21="","",IF(I21&gt;=15,"Crítica",IF(I21&gt;=9,"Alta",IF(I21&gt;=4,"Média","Baixa"))))</f>
        <v/>
      </c>
      <c r="K21" s="105"/>
      <c r="L21" s="105"/>
      <c r="M21" s="106"/>
      <c r="N21" s="96" t="str">
        <f aca="false">IF(B21="","",COUNTIF('Mentoring - Soluções'!$C$5:$C$500,A21&amp;"*"))</f>
        <v/>
      </c>
      <c r="O21" s="107"/>
      <c r="P21" s="105"/>
      <c r="Q21" s="105"/>
      <c r="R21" s="100" t="str">
        <f aca="false">IF(B21="","",A21&amp;" · "&amp;B21)</f>
        <v/>
      </c>
    </row>
    <row r="22" customFormat="false" ht="15" hidden="false" customHeight="false" outlineLevel="0" collapsed="false">
      <c r="A22" s="101" t="s">
        <v>808</v>
      </c>
      <c r="B22" s="102"/>
      <c r="C22" s="102"/>
      <c r="D22" s="102"/>
      <c r="E22" s="103"/>
      <c r="F22" s="102"/>
      <c r="G22" s="103"/>
      <c r="H22" s="103"/>
      <c r="I22" s="96" t="str">
        <f aca="false">IF(OR(G22="",H22=""),"",G22*H22)</f>
        <v/>
      </c>
      <c r="J22" s="99" t="str">
        <f aca="false">IF(I22="","",IF(I22&gt;=15,"Crítica",IF(I22&gt;=9,"Alta",IF(I22&gt;=4,"Média","Baixa"))))</f>
        <v/>
      </c>
      <c r="K22" s="102"/>
      <c r="L22" s="102"/>
      <c r="M22" s="103"/>
      <c r="N22" s="96" t="str">
        <f aca="false">IF(B22="","",COUNTIF('Mentoring - Soluções'!$C$5:$C$500,A22&amp;"*"))</f>
        <v/>
      </c>
      <c r="O22" s="104"/>
      <c r="P22" s="102"/>
      <c r="Q22" s="102"/>
      <c r="R22" s="100" t="str">
        <f aca="false">IF(B22="","",A22&amp;" · "&amp;B22)</f>
        <v/>
      </c>
    </row>
    <row r="23" customFormat="false" ht="15" hidden="false" customHeight="false" outlineLevel="0" collapsed="false">
      <c r="A23" s="93" t="s">
        <v>809</v>
      </c>
      <c r="B23" s="105"/>
      <c r="C23" s="105"/>
      <c r="D23" s="105"/>
      <c r="E23" s="106"/>
      <c r="F23" s="105"/>
      <c r="G23" s="106"/>
      <c r="H23" s="106"/>
      <c r="I23" s="96" t="str">
        <f aca="false">IF(OR(G23="",H23=""),"",G23*H23)</f>
        <v/>
      </c>
      <c r="J23" s="99" t="str">
        <f aca="false">IF(I23="","",IF(I23&gt;=15,"Crítica",IF(I23&gt;=9,"Alta",IF(I23&gt;=4,"Média","Baixa"))))</f>
        <v/>
      </c>
      <c r="K23" s="105"/>
      <c r="L23" s="105"/>
      <c r="M23" s="106"/>
      <c r="N23" s="96" t="str">
        <f aca="false">IF(B23="","",COUNTIF('Mentoring - Soluções'!$C$5:$C$500,A23&amp;"*"))</f>
        <v/>
      </c>
      <c r="O23" s="107"/>
      <c r="P23" s="105"/>
      <c r="Q23" s="105"/>
      <c r="R23" s="100" t="str">
        <f aca="false">IF(B23="","",A23&amp;" · "&amp;B23)</f>
        <v/>
      </c>
    </row>
    <row r="24" customFormat="false" ht="15" hidden="false" customHeight="false" outlineLevel="0" collapsed="false">
      <c r="A24" s="101" t="s">
        <v>810</v>
      </c>
      <c r="B24" s="102"/>
      <c r="C24" s="102"/>
      <c r="D24" s="102"/>
      <c r="E24" s="103"/>
      <c r="F24" s="102"/>
      <c r="G24" s="103"/>
      <c r="H24" s="103"/>
      <c r="I24" s="96" t="str">
        <f aca="false">IF(OR(G24="",H24=""),"",G24*H24)</f>
        <v/>
      </c>
      <c r="J24" s="99" t="str">
        <f aca="false">IF(I24="","",IF(I24&gt;=15,"Crítica",IF(I24&gt;=9,"Alta",IF(I24&gt;=4,"Média","Baixa"))))</f>
        <v/>
      </c>
      <c r="K24" s="102"/>
      <c r="L24" s="102"/>
      <c r="M24" s="103"/>
      <c r="N24" s="96" t="str">
        <f aca="false">IF(B24="","",COUNTIF('Mentoring - Soluções'!$C$5:$C$500,A24&amp;"*"))</f>
        <v/>
      </c>
      <c r="O24" s="104"/>
      <c r="P24" s="102"/>
      <c r="Q24" s="102"/>
      <c r="R24" s="100" t="str">
        <f aca="false">IF(B24="","",A24&amp;" · "&amp;B24)</f>
        <v/>
      </c>
    </row>
    <row r="25" customFormat="false" ht="15" hidden="false" customHeight="false" outlineLevel="0" collapsed="false">
      <c r="A25" s="93" t="s">
        <v>811</v>
      </c>
      <c r="B25" s="105"/>
      <c r="C25" s="105"/>
      <c r="D25" s="105"/>
      <c r="E25" s="106"/>
      <c r="F25" s="105"/>
      <c r="G25" s="106"/>
      <c r="H25" s="106"/>
      <c r="I25" s="96" t="str">
        <f aca="false">IF(OR(G25="",H25=""),"",G25*H25)</f>
        <v/>
      </c>
      <c r="J25" s="99" t="str">
        <f aca="false">IF(I25="","",IF(I25&gt;=15,"Crítica",IF(I25&gt;=9,"Alta",IF(I25&gt;=4,"Média","Baixa"))))</f>
        <v/>
      </c>
      <c r="K25" s="105"/>
      <c r="L25" s="105"/>
      <c r="M25" s="106"/>
      <c r="N25" s="96" t="str">
        <f aca="false">IF(B25="","",COUNTIF('Mentoring - Soluções'!$C$5:$C$500,A25&amp;"*"))</f>
        <v/>
      </c>
      <c r="O25" s="107"/>
      <c r="P25" s="105"/>
      <c r="Q25" s="105"/>
      <c r="R25" s="100" t="str">
        <f aca="false">IF(B25="","",A25&amp;" · "&amp;B25)</f>
        <v/>
      </c>
    </row>
    <row r="26" customFormat="false" ht="15" hidden="false" customHeight="false" outlineLevel="0" collapsed="false">
      <c r="A26" s="101" t="s">
        <v>812</v>
      </c>
      <c r="B26" s="102"/>
      <c r="C26" s="102"/>
      <c r="D26" s="102"/>
      <c r="E26" s="103"/>
      <c r="F26" s="102"/>
      <c r="G26" s="103"/>
      <c r="H26" s="103"/>
      <c r="I26" s="96" t="str">
        <f aca="false">IF(OR(G26="",H26=""),"",G26*H26)</f>
        <v/>
      </c>
      <c r="J26" s="99" t="str">
        <f aca="false">IF(I26="","",IF(I26&gt;=15,"Crítica",IF(I26&gt;=9,"Alta",IF(I26&gt;=4,"Média","Baixa"))))</f>
        <v/>
      </c>
      <c r="K26" s="102"/>
      <c r="L26" s="102"/>
      <c r="M26" s="103"/>
      <c r="N26" s="96" t="str">
        <f aca="false">IF(B26="","",COUNTIF('Mentoring - Soluções'!$C$5:$C$500,A26&amp;"*"))</f>
        <v/>
      </c>
      <c r="O26" s="104"/>
      <c r="P26" s="102"/>
      <c r="Q26" s="102"/>
      <c r="R26" s="100" t="str">
        <f aca="false">IF(B26="","",A26&amp;" · "&amp;B26)</f>
        <v/>
      </c>
    </row>
    <row r="27" customFormat="false" ht="15" hidden="false" customHeight="false" outlineLevel="0" collapsed="false">
      <c r="A27" s="93" t="s">
        <v>813</v>
      </c>
      <c r="B27" s="105"/>
      <c r="C27" s="105"/>
      <c r="D27" s="105"/>
      <c r="E27" s="106"/>
      <c r="F27" s="105"/>
      <c r="G27" s="106"/>
      <c r="H27" s="106"/>
      <c r="I27" s="96" t="str">
        <f aca="false">IF(OR(G27="",H27=""),"",G27*H27)</f>
        <v/>
      </c>
      <c r="J27" s="99" t="str">
        <f aca="false">IF(I27="","",IF(I27&gt;=15,"Crítica",IF(I27&gt;=9,"Alta",IF(I27&gt;=4,"Média","Baixa"))))</f>
        <v/>
      </c>
      <c r="K27" s="105"/>
      <c r="L27" s="105"/>
      <c r="M27" s="106"/>
      <c r="N27" s="96" t="str">
        <f aca="false">IF(B27="","",COUNTIF('Mentoring - Soluções'!$C$5:$C$500,A27&amp;"*"))</f>
        <v/>
      </c>
      <c r="O27" s="107"/>
      <c r="P27" s="105"/>
      <c r="Q27" s="105"/>
      <c r="R27" s="100" t="str">
        <f aca="false">IF(B27="","",A27&amp;" · "&amp;B27)</f>
        <v/>
      </c>
    </row>
    <row r="28" customFormat="false" ht="15" hidden="false" customHeight="false" outlineLevel="0" collapsed="false">
      <c r="A28" s="101" t="s">
        <v>814</v>
      </c>
      <c r="B28" s="102"/>
      <c r="C28" s="102"/>
      <c r="D28" s="102"/>
      <c r="E28" s="103"/>
      <c r="F28" s="102"/>
      <c r="G28" s="103"/>
      <c r="H28" s="103"/>
      <c r="I28" s="96" t="str">
        <f aca="false">IF(OR(G28="",H28=""),"",G28*H28)</f>
        <v/>
      </c>
      <c r="J28" s="99" t="str">
        <f aca="false">IF(I28="","",IF(I28&gt;=15,"Crítica",IF(I28&gt;=9,"Alta",IF(I28&gt;=4,"Média","Baixa"))))</f>
        <v/>
      </c>
      <c r="K28" s="102"/>
      <c r="L28" s="102"/>
      <c r="M28" s="103"/>
      <c r="N28" s="96" t="str">
        <f aca="false">IF(B28="","",COUNTIF('Mentoring - Soluções'!$C$5:$C$500,A28&amp;"*"))</f>
        <v/>
      </c>
      <c r="O28" s="104"/>
      <c r="P28" s="102"/>
      <c r="Q28" s="102"/>
      <c r="R28" s="100" t="str">
        <f aca="false">IF(B28="","",A28&amp;" · "&amp;B28)</f>
        <v/>
      </c>
    </row>
    <row r="29" customFormat="false" ht="15" hidden="false" customHeight="false" outlineLevel="0" collapsed="false">
      <c r="A29" s="93" t="s">
        <v>815</v>
      </c>
      <c r="B29" s="105"/>
      <c r="C29" s="105"/>
      <c r="D29" s="105"/>
      <c r="E29" s="106"/>
      <c r="F29" s="105"/>
      <c r="G29" s="106"/>
      <c r="H29" s="106"/>
      <c r="I29" s="96" t="str">
        <f aca="false">IF(OR(G29="",H29=""),"",G29*H29)</f>
        <v/>
      </c>
      <c r="J29" s="99" t="str">
        <f aca="false">IF(I29="","",IF(I29&gt;=15,"Crítica",IF(I29&gt;=9,"Alta",IF(I29&gt;=4,"Média","Baixa"))))</f>
        <v/>
      </c>
      <c r="K29" s="105"/>
      <c r="L29" s="105"/>
      <c r="M29" s="106"/>
      <c r="N29" s="96" t="str">
        <f aca="false">IF(B29="","",COUNTIF('Mentoring - Soluções'!$C$5:$C$500,A29&amp;"*"))</f>
        <v/>
      </c>
      <c r="O29" s="107"/>
      <c r="P29" s="105"/>
      <c r="Q29" s="105"/>
      <c r="R29" s="100" t="str">
        <f aca="false">IF(B29="","",A29&amp;" · "&amp;B29)</f>
        <v/>
      </c>
    </row>
    <row r="30" customFormat="false" ht="15" hidden="false" customHeight="false" outlineLevel="0" collapsed="false">
      <c r="A30" s="101" t="s">
        <v>816</v>
      </c>
      <c r="B30" s="102"/>
      <c r="C30" s="102"/>
      <c r="D30" s="102"/>
      <c r="E30" s="103"/>
      <c r="F30" s="102"/>
      <c r="G30" s="103"/>
      <c r="H30" s="103"/>
      <c r="I30" s="96" t="str">
        <f aca="false">IF(OR(G30="",H30=""),"",G30*H30)</f>
        <v/>
      </c>
      <c r="J30" s="99" t="str">
        <f aca="false">IF(I30="","",IF(I30&gt;=15,"Crítica",IF(I30&gt;=9,"Alta",IF(I30&gt;=4,"Média","Baixa"))))</f>
        <v/>
      </c>
      <c r="K30" s="102"/>
      <c r="L30" s="102"/>
      <c r="M30" s="103"/>
      <c r="N30" s="96" t="str">
        <f aca="false">IF(B30="","",COUNTIF('Mentoring - Soluções'!$C$5:$C$500,A30&amp;"*"))</f>
        <v/>
      </c>
      <c r="O30" s="104"/>
      <c r="P30" s="102"/>
      <c r="Q30" s="102"/>
      <c r="R30" s="100" t="str">
        <f aca="false">IF(B30="","",A30&amp;" · "&amp;B30)</f>
        <v/>
      </c>
    </row>
    <row r="31" customFormat="false" ht="15" hidden="false" customHeight="false" outlineLevel="0" collapsed="false">
      <c r="A31" s="93" t="s">
        <v>817</v>
      </c>
      <c r="B31" s="105"/>
      <c r="C31" s="105"/>
      <c r="D31" s="105"/>
      <c r="E31" s="106"/>
      <c r="F31" s="105"/>
      <c r="G31" s="106"/>
      <c r="H31" s="106"/>
      <c r="I31" s="96" t="str">
        <f aca="false">IF(OR(G31="",H31=""),"",G31*H31)</f>
        <v/>
      </c>
      <c r="J31" s="99" t="str">
        <f aca="false">IF(I31="","",IF(I31&gt;=15,"Crítica",IF(I31&gt;=9,"Alta",IF(I31&gt;=4,"Média","Baixa"))))</f>
        <v/>
      </c>
      <c r="K31" s="105"/>
      <c r="L31" s="105"/>
      <c r="M31" s="106"/>
      <c r="N31" s="96" t="str">
        <f aca="false">IF(B31="","",COUNTIF('Mentoring - Soluções'!$C$5:$C$500,A31&amp;"*"))</f>
        <v/>
      </c>
      <c r="O31" s="107"/>
      <c r="P31" s="105"/>
      <c r="Q31" s="105"/>
      <c r="R31" s="100" t="str">
        <f aca="false">IF(B31="","",A31&amp;" · "&amp;B31)</f>
        <v/>
      </c>
    </row>
    <row r="32" customFormat="false" ht="15" hidden="false" customHeight="false" outlineLevel="0" collapsed="false">
      <c r="A32" s="101" t="s">
        <v>818</v>
      </c>
      <c r="B32" s="102"/>
      <c r="C32" s="102"/>
      <c r="D32" s="102"/>
      <c r="E32" s="103"/>
      <c r="F32" s="102"/>
      <c r="G32" s="103"/>
      <c r="H32" s="103"/>
      <c r="I32" s="96" t="str">
        <f aca="false">IF(OR(G32="",H32=""),"",G32*H32)</f>
        <v/>
      </c>
      <c r="J32" s="99" t="str">
        <f aca="false">IF(I32="","",IF(I32&gt;=15,"Crítica",IF(I32&gt;=9,"Alta",IF(I32&gt;=4,"Média","Baixa"))))</f>
        <v/>
      </c>
      <c r="K32" s="102"/>
      <c r="L32" s="102"/>
      <c r="M32" s="103"/>
      <c r="N32" s="96" t="str">
        <f aca="false">IF(B32="","",COUNTIF('Mentoring - Soluções'!$C$5:$C$500,A32&amp;"*"))</f>
        <v/>
      </c>
      <c r="O32" s="104"/>
      <c r="P32" s="102"/>
      <c r="Q32" s="102"/>
      <c r="R32" s="100" t="str">
        <f aca="false">IF(B32="","",A32&amp;" · "&amp;B32)</f>
        <v/>
      </c>
    </row>
    <row r="33" customFormat="false" ht="15" hidden="false" customHeight="false" outlineLevel="0" collapsed="false">
      <c r="A33" s="93" t="s">
        <v>819</v>
      </c>
      <c r="B33" s="105"/>
      <c r="C33" s="105"/>
      <c r="D33" s="105"/>
      <c r="E33" s="106"/>
      <c r="F33" s="105"/>
      <c r="G33" s="106"/>
      <c r="H33" s="106"/>
      <c r="I33" s="96" t="str">
        <f aca="false">IF(OR(G33="",H33=""),"",G33*H33)</f>
        <v/>
      </c>
      <c r="J33" s="99" t="str">
        <f aca="false">IF(I33="","",IF(I33&gt;=15,"Crítica",IF(I33&gt;=9,"Alta",IF(I33&gt;=4,"Média","Baixa"))))</f>
        <v/>
      </c>
      <c r="K33" s="105"/>
      <c r="L33" s="105"/>
      <c r="M33" s="106"/>
      <c r="N33" s="96" t="str">
        <f aca="false">IF(B33="","",COUNTIF('Mentoring - Soluções'!$C$5:$C$500,A33&amp;"*"))</f>
        <v/>
      </c>
      <c r="O33" s="107"/>
      <c r="P33" s="105"/>
      <c r="Q33" s="105"/>
      <c r="R33" s="100" t="str">
        <f aca="false">IF(B33="","",A33&amp;" · "&amp;B33)</f>
        <v/>
      </c>
    </row>
    <row r="34" customFormat="false" ht="15" hidden="false" customHeight="false" outlineLevel="0" collapsed="false">
      <c r="A34" s="101" t="s">
        <v>820</v>
      </c>
      <c r="B34" s="102"/>
      <c r="C34" s="102"/>
      <c r="D34" s="102"/>
      <c r="E34" s="103"/>
      <c r="F34" s="102"/>
      <c r="G34" s="103"/>
      <c r="H34" s="103"/>
      <c r="I34" s="96" t="str">
        <f aca="false">IF(OR(G34="",H34=""),"",G34*H34)</f>
        <v/>
      </c>
      <c r="J34" s="99" t="str">
        <f aca="false">IF(I34="","",IF(I34&gt;=15,"Crítica",IF(I34&gt;=9,"Alta",IF(I34&gt;=4,"Média","Baixa"))))</f>
        <v/>
      </c>
      <c r="K34" s="102"/>
      <c r="L34" s="102"/>
      <c r="M34" s="103"/>
      <c r="N34" s="96" t="str">
        <f aca="false">IF(B34="","",COUNTIF('Mentoring - Soluções'!$C$5:$C$500,A34&amp;"*"))</f>
        <v/>
      </c>
      <c r="O34" s="104"/>
      <c r="P34" s="102"/>
      <c r="Q34" s="102"/>
      <c r="R34" s="100" t="str">
        <f aca="false">IF(B34="","",A34&amp;" · "&amp;B34)</f>
        <v/>
      </c>
    </row>
    <row r="35" customFormat="false" ht="15" hidden="false" customHeight="false" outlineLevel="0" collapsed="false">
      <c r="A35" s="93" t="s">
        <v>821</v>
      </c>
      <c r="B35" s="105"/>
      <c r="C35" s="105"/>
      <c r="D35" s="105"/>
      <c r="E35" s="106"/>
      <c r="F35" s="105"/>
      <c r="G35" s="106"/>
      <c r="H35" s="106"/>
      <c r="I35" s="96" t="str">
        <f aca="false">IF(OR(G35="",H35=""),"",G35*H35)</f>
        <v/>
      </c>
      <c r="J35" s="99" t="str">
        <f aca="false">IF(I35="","",IF(I35&gt;=15,"Crítica",IF(I35&gt;=9,"Alta",IF(I35&gt;=4,"Média","Baixa"))))</f>
        <v/>
      </c>
      <c r="K35" s="105"/>
      <c r="L35" s="105"/>
      <c r="M35" s="106"/>
      <c r="N35" s="96" t="str">
        <f aca="false">IF(B35="","",COUNTIF('Mentoring - Soluções'!$C$5:$C$500,A35&amp;"*"))</f>
        <v/>
      </c>
      <c r="O35" s="107"/>
      <c r="P35" s="105"/>
      <c r="Q35" s="105"/>
      <c r="R35" s="100" t="str">
        <f aca="false">IF(B35="","",A35&amp;" · "&amp;B35)</f>
        <v/>
      </c>
    </row>
    <row r="36" customFormat="false" ht="15" hidden="false" customHeight="false" outlineLevel="0" collapsed="false">
      <c r="A36" s="101" t="s">
        <v>822</v>
      </c>
      <c r="B36" s="102"/>
      <c r="C36" s="102"/>
      <c r="D36" s="102"/>
      <c r="E36" s="103"/>
      <c r="F36" s="102"/>
      <c r="G36" s="103"/>
      <c r="H36" s="103"/>
      <c r="I36" s="96" t="str">
        <f aca="false">IF(OR(G36="",H36=""),"",G36*H36)</f>
        <v/>
      </c>
      <c r="J36" s="99" t="str">
        <f aca="false">IF(I36="","",IF(I36&gt;=15,"Crítica",IF(I36&gt;=9,"Alta",IF(I36&gt;=4,"Média","Baixa"))))</f>
        <v/>
      </c>
      <c r="K36" s="102"/>
      <c r="L36" s="102"/>
      <c r="M36" s="103"/>
      <c r="N36" s="96" t="str">
        <f aca="false">IF(B36="","",COUNTIF('Mentoring - Soluções'!$C$5:$C$500,A36&amp;"*"))</f>
        <v/>
      </c>
      <c r="O36" s="104"/>
      <c r="P36" s="102"/>
      <c r="Q36" s="102"/>
      <c r="R36" s="100" t="str">
        <f aca="false">IF(B36="","",A36&amp;" · "&amp;B36)</f>
        <v/>
      </c>
    </row>
    <row r="37" customFormat="false" ht="15" hidden="false" customHeight="false" outlineLevel="0" collapsed="false">
      <c r="A37" s="93" t="s">
        <v>823</v>
      </c>
      <c r="B37" s="105"/>
      <c r="C37" s="105"/>
      <c r="D37" s="105"/>
      <c r="E37" s="106"/>
      <c r="F37" s="105"/>
      <c r="G37" s="106"/>
      <c r="H37" s="106"/>
      <c r="I37" s="96" t="str">
        <f aca="false">IF(OR(G37="",H37=""),"",G37*H37)</f>
        <v/>
      </c>
      <c r="J37" s="99" t="str">
        <f aca="false">IF(I37="","",IF(I37&gt;=15,"Crítica",IF(I37&gt;=9,"Alta",IF(I37&gt;=4,"Média","Baixa"))))</f>
        <v/>
      </c>
      <c r="K37" s="105"/>
      <c r="L37" s="105"/>
      <c r="M37" s="106"/>
      <c r="N37" s="96" t="str">
        <f aca="false">IF(B37="","",COUNTIF('Mentoring - Soluções'!$C$5:$C$500,A37&amp;"*"))</f>
        <v/>
      </c>
      <c r="O37" s="107"/>
      <c r="P37" s="105"/>
      <c r="Q37" s="105"/>
      <c r="R37" s="100" t="str">
        <f aca="false">IF(B37="","",A37&amp;" · "&amp;B37)</f>
        <v/>
      </c>
    </row>
    <row r="38" customFormat="false" ht="15" hidden="false" customHeight="false" outlineLevel="0" collapsed="false">
      <c r="A38" s="101" t="s">
        <v>824</v>
      </c>
      <c r="B38" s="102"/>
      <c r="C38" s="102"/>
      <c r="D38" s="102"/>
      <c r="E38" s="103"/>
      <c r="F38" s="102"/>
      <c r="G38" s="103"/>
      <c r="H38" s="103"/>
      <c r="I38" s="96" t="str">
        <f aca="false">IF(OR(G38="",H38=""),"",G38*H38)</f>
        <v/>
      </c>
      <c r="J38" s="99" t="str">
        <f aca="false">IF(I38="","",IF(I38&gt;=15,"Crítica",IF(I38&gt;=9,"Alta",IF(I38&gt;=4,"Média","Baixa"))))</f>
        <v/>
      </c>
      <c r="K38" s="102"/>
      <c r="L38" s="102"/>
      <c r="M38" s="103"/>
      <c r="N38" s="96" t="str">
        <f aca="false">IF(B38="","",COUNTIF('Mentoring - Soluções'!$C$5:$C$500,A38&amp;"*"))</f>
        <v/>
      </c>
      <c r="O38" s="104"/>
      <c r="P38" s="102"/>
      <c r="Q38" s="102"/>
      <c r="R38" s="100" t="str">
        <f aca="false">IF(B38="","",A38&amp;" · "&amp;B38)</f>
        <v/>
      </c>
    </row>
    <row r="39" customFormat="false" ht="15" hidden="false" customHeight="false" outlineLevel="0" collapsed="false">
      <c r="A39" s="93" t="s">
        <v>825</v>
      </c>
      <c r="B39" s="105"/>
      <c r="C39" s="105"/>
      <c r="D39" s="105"/>
      <c r="E39" s="106"/>
      <c r="F39" s="105"/>
      <c r="G39" s="106"/>
      <c r="H39" s="106"/>
      <c r="I39" s="96" t="str">
        <f aca="false">IF(OR(G39="",H39=""),"",G39*H39)</f>
        <v/>
      </c>
      <c r="J39" s="99" t="str">
        <f aca="false">IF(I39="","",IF(I39&gt;=15,"Crítica",IF(I39&gt;=9,"Alta",IF(I39&gt;=4,"Média","Baixa"))))</f>
        <v/>
      </c>
      <c r="K39" s="105"/>
      <c r="L39" s="105"/>
      <c r="M39" s="106"/>
      <c r="N39" s="96" t="str">
        <f aca="false">IF(B39="","",COUNTIF('Mentoring - Soluções'!$C$5:$C$500,A39&amp;"*"))</f>
        <v/>
      </c>
      <c r="O39" s="107"/>
      <c r="P39" s="105"/>
      <c r="Q39" s="105"/>
      <c r="R39" s="100" t="str">
        <f aca="false">IF(B39="","",A39&amp;" · "&amp;B39)</f>
        <v/>
      </c>
    </row>
    <row r="40" customFormat="false" ht="15" hidden="false" customHeight="false" outlineLevel="0" collapsed="false">
      <c r="A40" s="101" t="s">
        <v>826</v>
      </c>
      <c r="B40" s="102"/>
      <c r="C40" s="102"/>
      <c r="D40" s="102"/>
      <c r="E40" s="103"/>
      <c r="F40" s="102"/>
      <c r="G40" s="103"/>
      <c r="H40" s="103"/>
      <c r="I40" s="96" t="str">
        <f aca="false">IF(OR(G40="",H40=""),"",G40*H40)</f>
        <v/>
      </c>
      <c r="J40" s="99" t="str">
        <f aca="false">IF(I40="","",IF(I40&gt;=15,"Crítica",IF(I40&gt;=9,"Alta",IF(I40&gt;=4,"Média","Baixa"))))</f>
        <v/>
      </c>
      <c r="K40" s="102"/>
      <c r="L40" s="102"/>
      <c r="M40" s="103"/>
      <c r="N40" s="96" t="str">
        <f aca="false">IF(B40="","",COUNTIF('Mentoring - Soluções'!$C$5:$C$500,A40&amp;"*"))</f>
        <v/>
      </c>
      <c r="O40" s="104"/>
      <c r="P40" s="102"/>
      <c r="Q40" s="102"/>
      <c r="R40" s="100" t="str">
        <f aca="false">IF(B40="","",A40&amp;" · "&amp;B40)</f>
        <v/>
      </c>
    </row>
    <row r="41" customFormat="false" ht="15" hidden="false" customHeight="false" outlineLevel="0" collapsed="false">
      <c r="A41" s="93" t="s">
        <v>827</v>
      </c>
      <c r="B41" s="105"/>
      <c r="C41" s="105"/>
      <c r="D41" s="105"/>
      <c r="E41" s="106"/>
      <c r="F41" s="105"/>
      <c r="G41" s="106"/>
      <c r="H41" s="106"/>
      <c r="I41" s="96" t="str">
        <f aca="false">IF(OR(G41="",H41=""),"",G41*H41)</f>
        <v/>
      </c>
      <c r="J41" s="99" t="str">
        <f aca="false">IF(I41="","",IF(I41&gt;=15,"Crítica",IF(I41&gt;=9,"Alta",IF(I41&gt;=4,"Média","Baixa"))))</f>
        <v/>
      </c>
      <c r="K41" s="105"/>
      <c r="L41" s="105"/>
      <c r="M41" s="106"/>
      <c r="N41" s="96" t="str">
        <f aca="false">IF(B41="","",COUNTIF('Mentoring - Soluções'!$C$5:$C$500,A41&amp;"*"))</f>
        <v/>
      </c>
      <c r="O41" s="107"/>
      <c r="P41" s="105"/>
      <c r="Q41" s="105"/>
      <c r="R41" s="100" t="str">
        <f aca="false">IF(B41="","",A41&amp;" · "&amp;B41)</f>
        <v/>
      </c>
    </row>
    <row r="42" customFormat="false" ht="15" hidden="false" customHeight="false" outlineLevel="0" collapsed="false">
      <c r="A42" s="101" t="s">
        <v>828</v>
      </c>
      <c r="B42" s="102"/>
      <c r="C42" s="102"/>
      <c r="D42" s="102"/>
      <c r="E42" s="103"/>
      <c r="F42" s="102"/>
      <c r="G42" s="103"/>
      <c r="H42" s="103"/>
      <c r="I42" s="96" t="str">
        <f aca="false">IF(OR(G42="",H42=""),"",G42*H42)</f>
        <v/>
      </c>
      <c r="J42" s="99" t="str">
        <f aca="false">IF(I42="","",IF(I42&gt;=15,"Crítica",IF(I42&gt;=9,"Alta",IF(I42&gt;=4,"Média","Baixa"))))</f>
        <v/>
      </c>
      <c r="K42" s="102"/>
      <c r="L42" s="102"/>
      <c r="M42" s="103"/>
      <c r="N42" s="96" t="str">
        <f aca="false">IF(B42="","",COUNTIF('Mentoring - Soluções'!$C$5:$C$500,A42&amp;"*"))</f>
        <v/>
      </c>
      <c r="O42" s="104"/>
      <c r="P42" s="102"/>
      <c r="Q42" s="102"/>
      <c r="R42" s="100" t="str">
        <f aca="false">IF(B42="","",A42&amp;" · "&amp;B42)</f>
        <v/>
      </c>
    </row>
    <row r="43" customFormat="false" ht="15" hidden="false" customHeight="false" outlineLevel="0" collapsed="false">
      <c r="A43" s="93" t="s">
        <v>829</v>
      </c>
      <c r="B43" s="105"/>
      <c r="C43" s="105"/>
      <c r="D43" s="105"/>
      <c r="E43" s="106"/>
      <c r="F43" s="105"/>
      <c r="G43" s="106"/>
      <c r="H43" s="106"/>
      <c r="I43" s="96" t="str">
        <f aca="false">IF(OR(G43="",H43=""),"",G43*H43)</f>
        <v/>
      </c>
      <c r="J43" s="99" t="str">
        <f aca="false">IF(I43="","",IF(I43&gt;=15,"Crítica",IF(I43&gt;=9,"Alta",IF(I43&gt;=4,"Média","Baixa"))))</f>
        <v/>
      </c>
      <c r="K43" s="105"/>
      <c r="L43" s="105"/>
      <c r="M43" s="106"/>
      <c r="N43" s="96" t="str">
        <f aca="false">IF(B43="","",COUNTIF('Mentoring - Soluções'!$C$5:$C$500,A43&amp;"*"))</f>
        <v/>
      </c>
      <c r="O43" s="107"/>
      <c r="P43" s="105"/>
      <c r="Q43" s="105"/>
      <c r="R43" s="100" t="str">
        <f aca="false">IF(B43="","",A43&amp;" · "&amp;B43)</f>
        <v/>
      </c>
    </row>
    <row r="44" customFormat="false" ht="15" hidden="false" customHeight="false" outlineLevel="0" collapsed="false">
      <c r="A44" s="101" t="s">
        <v>830</v>
      </c>
      <c r="B44" s="102"/>
      <c r="C44" s="102"/>
      <c r="D44" s="102"/>
      <c r="E44" s="103"/>
      <c r="F44" s="102"/>
      <c r="G44" s="103"/>
      <c r="H44" s="103"/>
      <c r="I44" s="96" t="str">
        <f aca="false">IF(OR(G44="",H44=""),"",G44*H44)</f>
        <v/>
      </c>
      <c r="J44" s="99" t="str">
        <f aca="false">IF(I44="","",IF(I44&gt;=15,"Crítica",IF(I44&gt;=9,"Alta",IF(I44&gt;=4,"Média","Baixa"))))</f>
        <v/>
      </c>
      <c r="K44" s="102"/>
      <c r="L44" s="102"/>
      <c r="M44" s="103"/>
      <c r="N44" s="96" t="str">
        <f aca="false">IF(B44="","",COUNTIF('Mentoring - Soluções'!$C$5:$C$500,A44&amp;"*"))</f>
        <v/>
      </c>
      <c r="O44" s="104"/>
      <c r="P44" s="102"/>
      <c r="Q44" s="102"/>
      <c r="R44" s="100" t="str">
        <f aca="false">IF(B44="","",A44&amp;" · "&amp;B44)</f>
        <v/>
      </c>
    </row>
    <row r="45" customFormat="false" ht="15" hidden="false" customHeight="false" outlineLevel="0" collapsed="false">
      <c r="A45" s="93" t="s">
        <v>831</v>
      </c>
      <c r="B45" s="105"/>
      <c r="C45" s="105"/>
      <c r="D45" s="105"/>
      <c r="E45" s="106"/>
      <c r="F45" s="105"/>
      <c r="G45" s="106"/>
      <c r="H45" s="106"/>
      <c r="I45" s="96" t="str">
        <f aca="false">IF(OR(G45="",H45=""),"",G45*H45)</f>
        <v/>
      </c>
      <c r="J45" s="99" t="str">
        <f aca="false">IF(I45="","",IF(I45&gt;=15,"Crítica",IF(I45&gt;=9,"Alta",IF(I45&gt;=4,"Média","Baixa"))))</f>
        <v/>
      </c>
      <c r="K45" s="105"/>
      <c r="L45" s="105"/>
      <c r="M45" s="106"/>
      <c r="N45" s="96" t="str">
        <f aca="false">IF(B45="","",COUNTIF('Mentoring - Soluções'!$C$5:$C$500,A45&amp;"*"))</f>
        <v/>
      </c>
      <c r="O45" s="107"/>
      <c r="P45" s="105"/>
      <c r="Q45" s="105"/>
      <c r="R45" s="100" t="str">
        <f aca="false">IF(B45="","",A45&amp;" · "&amp;B45)</f>
        <v/>
      </c>
    </row>
    <row r="46" customFormat="false" ht="15" hidden="false" customHeight="false" outlineLevel="0" collapsed="false">
      <c r="A46" s="101" t="s">
        <v>832</v>
      </c>
      <c r="B46" s="102"/>
      <c r="C46" s="102"/>
      <c r="D46" s="102"/>
      <c r="E46" s="103"/>
      <c r="F46" s="102"/>
      <c r="G46" s="103"/>
      <c r="H46" s="103"/>
      <c r="I46" s="96" t="str">
        <f aca="false">IF(OR(G46="",H46=""),"",G46*H46)</f>
        <v/>
      </c>
      <c r="J46" s="99" t="str">
        <f aca="false">IF(I46="","",IF(I46&gt;=15,"Crítica",IF(I46&gt;=9,"Alta",IF(I46&gt;=4,"Média","Baixa"))))</f>
        <v/>
      </c>
      <c r="K46" s="102"/>
      <c r="L46" s="102"/>
      <c r="M46" s="103"/>
      <c r="N46" s="96" t="str">
        <f aca="false">IF(B46="","",COUNTIF('Mentoring - Soluções'!$C$5:$C$500,A46&amp;"*"))</f>
        <v/>
      </c>
      <c r="O46" s="104"/>
      <c r="P46" s="102"/>
      <c r="Q46" s="102"/>
      <c r="R46" s="100" t="str">
        <f aca="false">IF(B46="","",A46&amp;" · "&amp;B46)</f>
        <v/>
      </c>
    </row>
    <row r="47" customFormat="false" ht="15" hidden="false" customHeight="false" outlineLevel="0" collapsed="false">
      <c r="A47" s="93" t="s">
        <v>833</v>
      </c>
      <c r="B47" s="105"/>
      <c r="C47" s="105"/>
      <c r="D47" s="105"/>
      <c r="E47" s="106"/>
      <c r="F47" s="105"/>
      <c r="G47" s="106"/>
      <c r="H47" s="106"/>
      <c r="I47" s="96" t="str">
        <f aca="false">IF(OR(G47="",H47=""),"",G47*H47)</f>
        <v/>
      </c>
      <c r="J47" s="99" t="str">
        <f aca="false">IF(I47="","",IF(I47&gt;=15,"Crítica",IF(I47&gt;=9,"Alta",IF(I47&gt;=4,"Média","Baixa"))))</f>
        <v/>
      </c>
      <c r="K47" s="105"/>
      <c r="L47" s="105"/>
      <c r="M47" s="106"/>
      <c r="N47" s="96" t="str">
        <f aca="false">IF(B47="","",COUNTIF('Mentoring - Soluções'!$C$5:$C$500,A47&amp;"*"))</f>
        <v/>
      </c>
      <c r="O47" s="107"/>
      <c r="P47" s="105"/>
      <c r="Q47" s="105"/>
      <c r="R47" s="100" t="str">
        <f aca="false">IF(B47="","",A47&amp;" · "&amp;B47)</f>
        <v/>
      </c>
    </row>
    <row r="48" customFormat="false" ht="15" hidden="false" customHeight="false" outlineLevel="0" collapsed="false">
      <c r="A48" s="101" t="s">
        <v>834</v>
      </c>
      <c r="B48" s="102"/>
      <c r="C48" s="102"/>
      <c r="D48" s="102"/>
      <c r="E48" s="103"/>
      <c r="F48" s="102"/>
      <c r="G48" s="103"/>
      <c r="H48" s="103"/>
      <c r="I48" s="96" t="str">
        <f aca="false">IF(OR(G48="",H48=""),"",G48*H48)</f>
        <v/>
      </c>
      <c r="J48" s="99" t="str">
        <f aca="false">IF(I48="","",IF(I48&gt;=15,"Crítica",IF(I48&gt;=9,"Alta",IF(I48&gt;=4,"Média","Baixa"))))</f>
        <v/>
      </c>
      <c r="K48" s="102"/>
      <c r="L48" s="102"/>
      <c r="M48" s="103"/>
      <c r="N48" s="96" t="str">
        <f aca="false">IF(B48="","",COUNTIF('Mentoring - Soluções'!$C$5:$C$500,A48&amp;"*"))</f>
        <v/>
      </c>
      <c r="O48" s="104"/>
      <c r="P48" s="102"/>
      <c r="Q48" s="102"/>
      <c r="R48" s="100" t="str">
        <f aca="false">IF(B48="","",A48&amp;" · "&amp;B48)</f>
        <v/>
      </c>
    </row>
    <row r="49" customFormat="false" ht="15" hidden="false" customHeight="false" outlineLevel="0" collapsed="false">
      <c r="A49" s="93" t="s">
        <v>835</v>
      </c>
      <c r="B49" s="105"/>
      <c r="C49" s="105"/>
      <c r="D49" s="105"/>
      <c r="E49" s="106"/>
      <c r="F49" s="105"/>
      <c r="G49" s="106"/>
      <c r="H49" s="106"/>
      <c r="I49" s="96" t="str">
        <f aca="false">IF(OR(G49="",H49=""),"",G49*H49)</f>
        <v/>
      </c>
      <c r="J49" s="99" t="str">
        <f aca="false">IF(I49="","",IF(I49&gt;=15,"Crítica",IF(I49&gt;=9,"Alta",IF(I49&gt;=4,"Média","Baixa"))))</f>
        <v/>
      </c>
      <c r="K49" s="105"/>
      <c r="L49" s="105"/>
      <c r="M49" s="106"/>
      <c r="N49" s="96" t="str">
        <f aca="false">IF(B49="","",COUNTIF('Mentoring - Soluções'!$C$5:$C$500,A49&amp;"*"))</f>
        <v/>
      </c>
      <c r="O49" s="107"/>
      <c r="P49" s="105"/>
      <c r="Q49" s="105"/>
      <c r="R49" s="100" t="str">
        <f aca="false">IF(B49="","",A49&amp;" · "&amp;B49)</f>
        <v/>
      </c>
    </row>
    <row r="50" customFormat="false" ht="15" hidden="false" customHeight="false" outlineLevel="0" collapsed="false">
      <c r="A50" s="101" t="s">
        <v>836</v>
      </c>
      <c r="B50" s="102"/>
      <c r="C50" s="102"/>
      <c r="D50" s="102"/>
      <c r="E50" s="103"/>
      <c r="F50" s="102"/>
      <c r="G50" s="103"/>
      <c r="H50" s="103"/>
      <c r="I50" s="96" t="str">
        <f aca="false">IF(OR(G50="",H50=""),"",G50*H50)</f>
        <v/>
      </c>
      <c r="J50" s="99" t="str">
        <f aca="false">IF(I50="","",IF(I50&gt;=15,"Crítica",IF(I50&gt;=9,"Alta",IF(I50&gt;=4,"Média","Baixa"))))</f>
        <v/>
      </c>
      <c r="K50" s="102"/>
      <c r="L50" s="102"/>
      <c r="M50" s="103"/>
      <c r="N50" s="96" t="str">
        <f aca="false">IF(B50="","",COUNTIF('Mentoring - Soluções'!$C$5:$C$500,A50&amp;"*"))</f>
        <v/>
      </c>
      <c r="O50" s="104"/>
      <c r="P50" s="102"/>
      <c r="Q50" s="102"/>
      <c r="R50" s="100" t="str">
        <f aca="false">IF(B50="","",A50&amp;" · "&amp;B50)</f>
        <v/>
      </c>
    </row>
    <row r="51" customFormat="false" ht="15" hidden="false" customHeight="false" outlineLevel="0" collapsed="false">
      <c r="A51" s="93" t="s">
        <v>837</v>
      </c>
      <c r="B51" s="105"/>
      <c r="C51" s="105"/>
      <c r="D51" s="105"/>
      <c r="E51" s="106"/>
      <c r="F51" s="105"/>
      <c r="G51" s="106"/>
      <c r="H51" s="106"/>
      <c r="I51" s="96" t="str">
        <f aca="false">IF(OR(G51="",H51=""),"",G51*H51)</f>
        <v/>
      </c>
      <c r="J51" s="99" t="str">
        <f aca="false">IF(I51="","",IF(I51&gt;=15,"Crítica",IF(I51&gt;=9,"Alta",IF(I51&gt;=4,"Média","Baixa"))))</f>
        <v/>
      </c>
      <c r="K51" s="105"/>
      <c r="L51" s="105"/>
      <c r="M51" s="106"/>
      <c r="N51" s="96" t="str">
        <f aca="false">IF(B51="","",COUNTIF('Mentoring - Soluções'!$C$5:$C$500,A51&amp;"*"))</f>
        <v/>
      </c>
      <c r="O51" s="107"/>
      <c r="P51" s="105"/>
      <c r="Q51" s="105"/>
      <c r="R51" s="100" t="str">
        <f aca="false">IF(B51="","",A51&amp;" · "&amp;B51)</f>
        <v/>
      </c>
    </row>
    <row r="52" customFormat="false" ht="15" hidden="false" customHeight="false" outlineLevel="0" collapsed="false">
      <c r="A52" s="101" t="s">
        <v>838</v>
      </c>
      <c r="B52" s="102"/>
      <c r="C52" s="102"/>
      <c r="D52" s="102"/>
      <c r="E52" s="103"/>
      <c r="F52" s="102"/>
      <c r="G52" s="103"/>
      <c r="H52" s="103"/>
      <c r="I52" s="96" t="str">
        <f aca="false">IF(OR(G52="",H52=""),"",G52*H52)</f>
        <v/>
      </c>
      <c r="J52" s="99" t="str">
        <f aca="false">IF(I52="","",IF(I52&gt;=15,"Crítica",IF(I52&gt;=9,"Alta",IF(I52&gt;=4,"Média","Baixa"))))</f>
        <v/>
      </c>
      <c r="K52" s="102"/>
      <c r="L52" s="102"/>
      <c r="M52" s="103"/>
      <c r="N52" s="96" t="str">
        <f aca="false">IF(B52="","",COUNTIF('Mentoring - Soluções'!$C$5:$C$500,A52&amp;"*"))</f>
        <v/>
      </c>
      <c r="O52" s="104"/>
      <c r="P52" s="102"/>
      <c r="Q52" s="102"/>
      <c r="R52" s="100" t="str">
        <f aca="false">IF(B52="","",A52&amp;" · "&amp;B52)</f>
        <v/>
      </c>
    </row>
    <row r="53" customFormat="false" ht="15" hidden="false" customHeight="false" outlineLevel="0" collapsed="false">
      <c r="A53" s="93" t="s">
        <v>839</v>
      </c>
      <c r="B53" s="105"/>
      <c r="C53" s="105"/>
      <c r="D53" s="105"/>
      <c r="E53" s="106"/>
      <c r="F53" s="105"/>
      <c r="G53" s="106"/>
      <c r="H53" s="106"/>
      <c r="I53" s="96" t="str">
        <f aca="false">IF(OR(G53="",H53=""),"",G53*H53)</f>
        <v/>
      </c>
      <c r="J53" s="99" t="str">
        <f aca="false">IF(I53="","",IF(I53&gt;=15,"Crítica",IF(I53&gt;=9,"Alta",IF(I53&gt;=4,"Média","Baixa"))))</f>
        <v/>
      </c>
      <c r="K53" s="105"/>
      <c r="L53" s="105"/>
      <c r="M53" s="106"/>
      <c r="N53" s="96" t="str">
        <f aca="false">IF(B53="","",COUNTIF('Mentoring - Soluções'!$C$5:$C$500,A53&amp;"*"))</f>
        <v/>
      </c>
      <c r="O53" s="107"/>
      <c r="P53" s="105"/>
      <c r="Q53" s="105"/>
      <c r="R53" s="100" t="str">
        <f aca="false">IF(B53="","",A53&amp;" · "&amp;B53)</f>
        <v/>
      </c>
    </row>
    <row r="54" customFormat="false" ht="15" hidden="false" customHeight="false" outlineLevel="0" collapsed="false">
      <c r="A54" s="101" t="s">
        <v>840</v>
      </c>
      <c r="B54" s="102"/>
      <c r="C54" s="102"/>
      <c r="D54" s="102"/>
      <c r="E54" s="103"/>
      <c r="F54" s="102"/>
      <c r="G54" s="103"/>
      <c r="H54" s="103"/>
      <c r="I54" s="96" t="str">
        <f aca="false">IF(OR(G54="",H54=""),"",G54*H54)</f>
        <v/>
      </c>
      <c r="J54" s="99" t="str">
        <f aca="false">IF(I54="","",IF(I54&gt;=15,"Crítica",IF(I54&gt;=9,"Alta",IF(I54&gt;=4,"Média","Baixa"))))</f>
        <v/>
      </c>
      <c r="K54" s="102"/>
      <c r="L54" s="102"/>
      <c r="M54" s="103"/>
      <c r="N54" s="96" t="str">
        <f aca="false">IF(B54="","",COUNTIF('Mentoring - Soluções'!$C$5:$C$500,A54&amp;"*"))</f>
        <v/>
      </c>
      <c r="O54" s="104"/>
      <c r="P54" s="102"/>
      <c r="Q54" s="102"/>
      <c r="R54" s="100" t="str">
        <f aca="false">IF(B54="","",A54&amp;" · "&amp;B54)</f>
        <v/>
      </c>
    </row>
    <row r="55" customFormat="false" ht="15" hidden="false" customHeight="false" outlineLevel="0" collapsed="false">
      <c r="A55" s="93" t="s">
        <v>841</v>
      </c>
      <c r="B55" s="105"/>
      <c r="C55" s="105"/>
      <c r="D55" s="105"/>
      <c r="E55" s="106"/>
      <c r="F55" s="105"/>
      <c r="G55" s="106"/>
      <c r="H55" s="106"/>
      <c r="I55" s="96" t="str">
        <f aca="false">IF(OR(G55="",H55=""),"",G55*H55)</f>
        <v/>
      </c>
      <c r="J55" s="99" t="str">
        <f aca="false">IF(I55="","",IF(I55&gt;=15,"Crítica",IF(I55&gt;=9,"Alta",IF(I55&gt;=4,"Média","Baixa"))))</f>
        <v/>
      </c>
      <c r="K55" s="105"/>
      <c r="L55" s="105"/>
      <c r="M55" s="106"/>
      <c r="N55" s="96" t="str">
        <f aca="false">IF(B55="","",COUNTIF('Mentoring - Soluções'!$C$5:$C$500,A55&amp;"*"))</f>
        <v/>
      </c>
      <c r="O55" s="107"/>
      <c r="P55" s="105"/>
      <c r="Q55" s="105"/>
      <c r="R55" s="100" t="str">
        <f aca="false">IF(B55="","",A55&amp;" · "&amp;B55)</f>
        <v/>
      </c>
    </row>
    <row r="56" customFormat="false" ht="15" hidden="false" customHeight="false" outlineLevel="0" collapsed="false">
      <c r="A56" s="101" t="s">
        <v>842</v>
      </c>
      <c r="B56" s="102"/>
      <c r="C56" s="102"/>
      <c r="D56" s="102"/>
      <c r="E56" s="103"/>
      <c r="F56" s="102"/>
      <c r="G56" s="103"/>
      <c r="H56" s="103"/>
      <c r="I56" s="96" t="str">
        <f aca="false">IF(OR(G56="",H56=""),"",G56*H56)</f>
        <v/>
      </c>
      <c r="J56" s="99" t="str">
        <f aca="false">IF(I56="","",IF(I56&gt;=15,"Crítica",IF(I56&gt;=9,"Alta",IF(I56&gt;=4,"Média","Baixa"))))</f>
        <v/>
      </c>
      <c r="K56" s="102"/>
      <c r="L56" s="102"/>
      <c r="M56" s="103"/>
      <c r="N56" s="96" t="str">
        <f aca="false">IF(B56="","",COUNTIF('Mentoring - Soluções'!$C$5:$C$500,A56&amp;"*"))</f>
        <v/>
      </c>
      <c r="O56" s="104"/>
      <c r="P56" s="102"/>
      <c r="Q56" s="102"/>
      <c r="R56" s="100" t="str">
        <f aca="false">IF(B56="","",A56&amp;" · "&amp;B56)</f>
        <v/>
      </c>
    </row>
    <row r="57" customFormat="false" ht="15" hidden="false" customHeight="false" outlineLevel="0" collapsed="false">
      <c r="A57" s="93" t="s">
        <v>843</v>
      </c>
      <c r="B57" s="105"/>
      <c r="C57" s="105"/>
      <c r="D57" s="105"/>
      <c r="E57" s="106"/>
      <c r="F57" s="105"/>
      <c r="G57" s="106"/>
      <c r="H57" s="106"/>
      <c r="I57" s="96" t="str">
        <f aca="false">IF(OR(G57="",H57=""),"",G57*H57)</f>
        <v/>
      </c>
      <c r="J57" s="99" t="str">
        <f aca="false">IF(I57="","",IF(I57&gt;=15,"Crítica",IF(I57&gt;=9,"Alta",IF(I57&gt;=4,"Média","Baixa"))))</f>
        <v/>
      </c>
      <c r="K57" s="105"/>
      <c r="L57" s="105"/>
      <c r="M57" s="106"/>
      <c r="N57" s="96" t="str">
        <f aca="false">IF(B57="","",COUNTIF('Mentoring - Soluções'!$C$5:$C$500,A57&amp;"*"))</f>
        <v/>
      </c>
      <c r="O57" s="107"/>
      <c r="P57" s="105"/>
      <c r="Q57" s="105"/>
      <c r="R57" s="100" t="str">
        <f aca="false">IF(B57="","",A57&amp;" · "&amp;B57)</f>
        <v/>
      </c>
    </row>
    <row r="58" customFormat="false" ht="15" hidden="false" customHeight="false" outlineLevel="0" collapsed="false">
      <c r="A58" s="101" t="s">
        <v>844</v>
      </c>
      <c r="B58" s="102"/>
      <c r="C58" s="102"/>
      <c r="D58" s="102"/>
      <c r="E58" s="103"/>
      <c r="F58" s="102"/>
      <c r="G58" s="103"/>
      <c r="H58" s="103"/>
      <c r="I58" s="96" t="str">
        <f aca="false">IF(OR(G58="",H58=""),"",G58*H58)</f>
        <v/>
      </c>
      <c r="J58" s="99" t="str">
        <f aca="false">IF(I58="","",IF(I58&gt;=15,"Crítica",IF(I58&gt;=9,"Alta",IF(I58&gt;=4,"Média","Baixa"))))</f>
        <v/>
      </c>
      <c r="K58" s="102"/>
      <c r="L58" s="102"/>
      <c r="M58" s="103"/>
      <c r="N58" s="96" t="str">
        <f aca="false">IF(B58="","",COUNTIF('Mentoring - Soluções'!$C$5:$C$500,A58&amp;"*"))</f>
        <v/>
      </c>
      <c r="O58" s="104"/>
      <c r="P58" s="102"/>
      <c r="Q58" s="102"/>
      <c r="R58" s="100" t="str">
        <f aca="false">IF(B58="","",A58&amp;" · "&amp;B58)</f>
        <v/>
      </c>
    </row>
    <row r="59" customFormat="false" ht="15" hidden="false" customHeight="false" outlineLevel="0" collapsed="false">
      <c r="A59" s="93" t="s">
        <v>845</v>
      </c>
      <c r="B59" s="105"/>
      <c r="C59" s="105"/>
      <c r="D59" s="105"/>
      <c r="E59" s="106"/>
      <c r="F59" s="105"/>
      <c r="G59" s="106"/>
      <c r="H59" s="106"/>
      <c r="I59" s="96" t="str">
        <f aca="false">IF(OR(G59="",H59=""),"",G59*H59)</f>
        <v/>
      </c>
      <c r="J59" s="99" t="str">
        <f aca="false">IF(I59="","",IF(I59&gt;=15,"Crítica",IF(I59&gt;=9,"Alta",IF(I59&gt;=4,"Média","Baixa"))))</f>
        <v/>
      </c>
      <c r="K59" s="105"/>
      <c r="L59" s="105"/>
      <c r="M59" s="106"/>
      <c r="N59" s="96" t="str">
        <f aca="false">IF(B59="","",COUNTIF('Mentoring - Soluções'!$C$5:$C$500,A59&amp;"*"))</f>
        <v/>
      </c>
      <c r="O59" s="107"/>
      <c r="P59" s="105"/>
      <c r="Q59" s="105"/>
      <c r="R59" s="100" t="str">
        <f aca="false">IF(B59="","",A59&amp;" · "&amp;B59)</f>
        <v/>
      </c>
    </row>
    <row r="60" customFormat="false" ht="15" hidden="false" customHeight="false" outlineLevel="0" collapsed="false">
      <c r="A60" s="101" t="s">
        <v>846</v>
      </c>
      <c r="B60" s="102"/>
      <c r="C60" s="102"/>
      <c r="D60" s="102"/>
      <c r="E60" s="103"/>
      <c r="F60" s="102"/>
      <c r="G60" s="103"/>
      <c r="H60" s="103"/>
      <c r="I60" s="96" t="str">
        <f aca="false">IF(OR(G60="",H60=""),"",G60*H60)</f>
        <v/>
      </c>
      <c r="J60" s="99" t="str">
        <f aca="false">IF(I60="","",IF(I60&gt;=15,"Crítica",IF(I60&gt;=9,"Alta",IF(I60&gt;=4,"Média","Baixa"))))</f>
        <v/>
      </c>
      <c r="K60" s="102"/>
      <c r="L60" s="102"/>
      <c r="M60" s="103"/>
      <c r="N60" s="96" t="str">
        <f aca="false">IF(B60="","",COUNTIF('Mentoring - Soluções'!$C$5:$C$500,A60&amp;"*"))</f>
        <v/>
      </c>
      <c r="O60" s="104"/>
      <c r="P60" s="102"/>
      <c r="Q60" s="102"/>
      <c r="R60" s="100" t="str">
        <f aca="false">IF(B60="","",A60&amp;" · "&amp;B60)</f>
        <v/>
      </c>
    </row>
    <row r="61" customFormat="false" ht="15" hidden="false" customHeight="false" outlineLevel="0" collapsed="false">
      <c r="A61" s="93" t="s">
        <v>847</v>
      </c>
      <c r="B61" s="105"/>
      <c r="C61" s="105"/>
      <c r="D61" s="105"/>
      <c r="E61" s="106"/>
      <c r="F61" s="105"/>
      <c r="G61" s="106"/>
      <c r="H61" s="106"/>
      <c r="I61" s="96" t="str">
        <f aca="false">IF(OR(G61="",H61=""),"",G61*H61)</f>
        <v/>
      </c>
      <c r="J61" s="99" t="str">
        <f aca="false">IF(I61="","",IF(I61&gt;=15,"Crítica",IF(I61&gt;=9,"Alta",IF(I61&gt;=4,"Média","Baixa"))))</f>
        <v/>
      </c>
      <c r="K61" s="105"/>
      <c r="L61" s="105"/>
      <c r="M61" s="106"/>
      <c r="N61" s="96" t="str">
        <f aca="false">IF(B61="","",COUNTIF('Mentoring - Soluções'!$C$5:$C$500,A61&amp;"*"))</f>
        <v/>
      </c>
      <c r="O61" s="107"/>
      <c r="P61" s="105"/>
      <c r="Q61" s="105"/>
      <c r="R61" s="100" t="str">
        <f aca="false">IF(B61="","",A61&amp;" · "&amp;B61)</f>
        <v/>
      </c>
    </row>
    <row r="62" customFormat="false" ht="15" hidden="false" customHeight="false" outlineLevel="0" collapsed="false">
      <c r="A62" s="101" t="s">
        <v>848</v>
      </c>
      <c r="B62" s="102"/>
      <c r="C62" s="102"/>
      <c r="D62" s="102"/>
      <c r="E62" s="103"/>
      <c r="F62" s="102"/>
      <c r="G62" s="103"/>
      <c r="H62" s="103"/>
      <c r="I62" s="96" t="str">
        <f aca="false">IF(OR(G62="",H62=""),"",G62*H62)</f>
        <v/>
      </c>
      <c r="J62" s="99" t="str">
        <f aca="false">IF(I62="","",IF(I62&gt;=15,"Crítica",IF(I62&gt;=9,"Alta",IF(I62&gt;=4,"Média","Baixa"))))</f>
        <v/>
      </c>
      <c r="K62" s="102"/>
      <c r="L62" s="102"/>
      <c r="M62" s="103"/>
      <c r="N62" s="96" t="str">
        <f aca="false">IF(B62="","",COUNTIF('Mentoring - Soluções'!$C$5:$C$500,A62&amp;"*"))</f>
        <v/>
      </c>
      <c r="O62" s="104"/>
      <c r="P62" s="102"/>
      <c r="Q62" s="102"/>
      <c r="R62" s="100" t="str">
        <f aca="false">IF(B62="","",A62&amp;" · "&amp;B62)</f>
        <v/>
      </c>
    </row>
    <row r="63" customFormat="false" ht="15" hidden="false" customHeight="false" outlineLevel="0" collapsed="false">
      <c r="A63" s="93" t="s">
        <v>849</v>
      </c>
      <c r="B63" s="105"/>
      <c r="C63" s="105"/>
      <c r="D63" s="105"/>
      <c r="E63" s="106"/>
      <c r="F63" s="105"/>
      <c r="G63" s="106"/>
      <c r="H63" s="106"/>
      <c r="I63" s="96" t="str">
        <f aca="false">IF(OR(G63="",H63=""),"",G63*H63)</f>
        <v/>
      </c>
      <c r="J63" s="99" t="str">
        <f aca="false">IF(I63="","",IF(I63&gt;=15,"Crítica",IF(I63&gt;=9,"Alta",IF(I63&gt;=4,"Média","Baixa"))))</f>
        <v/>
      </c>
      <c r="K63" s="105"/>
      <c r="L63" s="105"/>
      <c r="M63" s="106"/>
      <c r="N63" s="96" t="str">
        <f aca="false">IF(B63="","",COUNTIF('Mentoring - Soluções'!$C$5:$C$500,A63&amp;"*"))</f>
        <v/>
      </c>
      <c r="O63" s="107"/>
      <c r="P63" s="105"/>
      <c r="Q63" s="105"/>
      <c r="R63" s="100" t="str">
        <f aca="false">IF(B63="","",A63&amp;" · "&amp;B63)</f>
        <v/>
      </c>
    </row>
    <row r="64" customFormat="false" ht="15" hidden="false" customHeight="false" outlineLevel="0" collapsed="false">
      <c r="A64" s="101" t="s">
        <v>850</v>
      </c>
      <c r="B64" s="102"/>
      <c r="C64" s="102"/>
      <c r="D64" s="102"/>
      <c r="E64" s="103"/>
      <c r="F64" s="102"/>
      <c r="G64" s="103"/>
      <c r="H64" s="103"/>
      <c r="I64" s="96" t="str">
        <f aca="false">IF(OR(G64="",H64=""),"",G64*H64)</f>
        <v/>
      </c>
      <c r="J64" s="99" t="str">
        <f aca="false">IF(I64="","",IF(I64&gt;=15,"Crítica",IF(I64&gt;=9,"Alta",IF(I64&gt;=4,"Média","Baixa"))))</f>
        <v/>
      </c>
      <c r="K64" s="102"/>
      <c r="L64" s="102"/>
      <c r="M64" s="103"/>
      <c r="N64" s="96" t="str">
        <f aca="false">IF(B64="","",COUNTIF('Mentoring - Soluções'!$C$5:$C$500,A64&amp;"*"))</f>
        <v/>
      </c>
      <c r="O64" s="104"/>
      <c r="P64" s="102"/>
      <c r="Q64" s="102"/>
      <c r="R64" s="100" t="str">
        <f aca="false">IF(B64="","",A64&amp;" · "&amp;B64)</f>
        <v/>
      </c>
    </row>
    <row r="65" customFormat="false" ht="15" hidden="false" customHeight="false" outlineLevel="0" collapsed="false">
      <c r="A65" s="93" t="s">
        <v>851</v>
      </c>
      <c r="B65" s="105"/>
      <c r="C65" s="105"/>
      <c r="D65" s="105"/>
      <c r="E65" s="106"/>
      <c r="F65" s="105"/>
      <c r="G65" s="106"/>
      <c r="H65" s="106"/>
      <c r="I65" s="96" t="str">
        <f aca="false">IF(OR(G65="",H65=""),"",G65*H65)</f>
        <v/>
      </c>
      <c r="J65" s="99" t="str">
        <f aca="false">IF(I65="","",IF(I65&gt;=15,"Crítica",IF(I65&gt;=9,"Alta",IF(I65&gt;=4,"Média","Baixa"))))</f>
        <v/>
      </c>
      <c r="K65" s="105"/>
      <c r="L65" s="105"/>
      <c r="M65" s="106"/>
      <c r="N65" s="96" t="str">
        <f aca="false">IF(B65="","",COUNTIF('Mentoring - Soluções'!$C$5:$C$500,A65&amp;"*"))</f>
        <v/>
      </c>
      <c r="O65" s="107"/>
      <c r="P65" s="105"/>
      <c r="Q65" s="105"/>
      <c r="R65" s="100" t="str">
        <f aca="false">IF(B65="","",A65&amp;" · "&amp;B65)</f>
        <v/>
      </c>
    </row>
    <row r="66" customFormat="false" ht="15" hidden="false" customHeight="false" outlineLevel="0" collapsed="false">
      <c r="A66" s="101" t="s">
        <v>852</v>
      </c>
      <c r="B66" s="102"/>
      <c r="C66" s="102"/>
      <c r="D66" s="102"/>
      <c r="E66" s="103"/>
      <c r="F66" s="102"/>
      <c r="G66" s="103"/>
      <c r="H66" s="103"/>
      <c r="I66" s="96" t="str">
        <f aca="false">IF(OR(G66="",H66=""),"",G66*H66)</f>
        <v/>
      </c>
      <c r="J66" s="99" t="str">
        <f aca="false">IF(I66="","",IF(I66&gt;=15,"Crítica",IF(I66&gt;=9,"Alta",IF(I66&gt;=4,"Média","Baixa"))))</f>
        <v/>
      </c>
      <c r="K66" s="102"/>
      <c r="L66" s="102"/>
      <c r="M66" s="103"/>
      <c r="N66" s="96" t="str">
        <f aca="false">IF(B66="","",COUNTIF('Mentoring - Soluções'!$C$5:$C$500,A66&amp;"*"))</f>
        <v/>
      </c>
      <c r="O66" s="104"/>
      <c r="P66" s="102"/>
      <c r="Q66" s="102"/>
      <c r="R66" s="100" t="str">
        <f aca="false">IF(B66="","",A66&amp;" · "&amp;B66)</f>
        <v/>
      </c>
    </row>
    <row r="67" customFormat="false" ht="15" hidden="false" customHeight="false" outlineLevel="0" collapsed="false">
      <c r="A67" s="93" t="s">
        <v>853</v>
      </c>
      <c r="B67" s="105"/>
      <c r="C67" s="105"/>
      <c r="D67" s="105"/>
      <c r="E67" s="106"/>
      <c r="F67" s="105"/>
      <c r="G67" s="106"/>
      <c r="H67" s="106"/>
      <c r="I67" s="96" t="str">
        <f aca="false">IF(OR(G67="",H67=""),"",G67*H67)</f>
        <v/>
      </c>
      <c r="J67" s="99" t="str">
        <f aca="false">IF(I67="","",IF(I67&gt;=15,"Crítica",IF(I67&gt;=9,"Alta",IF(I67&gt;=4,"Média","Baixa"))))</f>
        <v/>
      </c>
      <c r="K67" s="105"/>
      <c r="L67" s="105"/>
      <c r="M67" s="106"/>
      <c r="N67" s="96" t="str">
        <f aca="false">IF(B67="","",COUNTIF('Mentoring - Soluções'!$C$5:$C$500,A67&amp;"*"))</f>
        <v/>
      </c>
      <c r="O67" s="107"/>
      <c r="P67" s="105"/>
      <c r="Q67" s="105"/>
      <c r="R67" s="100" t="str">
        <f aca="false">IF(B67="","",A67&amp;" · "&amp;B67)</f>
        <v/>
      </c>
    </row>
    <row r="68" customFormat="false" ht="15" hidden="false" customHeight="false" outlineLevel="0" collapsed="false">
      <c r="A68" s="101" t="s">
        <v>854</v>
      </c>
      <c r="B68" s="102"/>
      <c r="C68" s="102"/>
      <c r="D68" s="102"/>
      <c r="E68" s="103"/>
      <c r="F68" s="102"/>
      <c r="G68" s="103"/>
      <c r="H68" s="103"/>
      <c r="I68" s="96" t="str">
        <f aca="false">IF(OR(G68="",H68=""),"",G68*H68)</f>
        <v/>
      </c>
      <c r="J68" s="99" t="str">
        <f aca="false">IF(I68="","",IF(I68&gt;=15,"Crítica",IF(I68&gt;=9,"Alta",IF(I68&gt;=4,"Média","Baixa"))))</f>
        <v/>
      </c>
      <c r="K68" s="102"/>
      <c r="L68" s="102"/>
      <c r="M68" s="103"/>
      <c r="N68" s="96" t="str">
        <f aca="false">IF(B68="","",COUNTIF('Mentoring - Soluções'!$C$5:$C$500,A68&amp;"*"))</f>
        <v/>
      </c>
      <c r="O68" s="104"/>
      <c r="P68" s="102"/>
      <c r="Q68" s="102"/>
      <c r="R68" s="100" t="str">
        <f aca="false">IF(B68="","",A68&amp;" · "&amp;B68)</f>
        <v/>
      </c>
    </row>
    <row r="69" customFormat="false" ht="15" hidden="false" customHeight="false" outlineLevel="0" collapsed="false">
      <c r="A69" s="93" t="s">
        <v>855</v>
      </c>
      <c r="B69" s="105"/>
      <c r="C69" s="105"/>
      <c r="D69" s="105"/>
      <c r="E69" s="106"/>
      <c r="F69" s="105"/>
      <c r="G69" s="106"/>
      <c r="H69" s="106"/>
      <c r="I69" s="96" t="str">
        <f aca="false">IF(OR(G69="",H69=""),"",G69*H69)</f>
        <v/>
      </c>
      <c r="J69" s="99" t="str">
        <f aca="false">IF(I69="","",IF(I69&gt;=15,"Crítica",IF(I69&gt;=9,"Alta",IF(I69&gt;=4,"Média","Baixa"))))</f>
        <v/>
      </c>
      <c r="K69" s="105"/>
      <c r="L69" s="105"/>
      <c r="M69" s="106"/>
      <c r="N69" s="96" t="str">
        <f aca="false">IF(B69="","",COUNTIF('Mentoring - Soluções'!$C$5:$C$500,A69&amp;"*"))</f>
        <v/>
      </c>
      <c r="O69" s="107"/>
      <c r="P69" s="105"/>
      <c r="Q69" s="105"/>
      <c r="R69" s="100" t="str">
        <f aca="false">IF(B69="","",A69&amp;" · "&amp;B69)</f>
        <v/>
      </c>
    </row>
    <row r="70" customFormat="false" ht="15" hidden="false" customHeight="false" outlineLevel="0" collapsed="false">
      <c r="A70" s="101" t="s">
        <v>856</v>
      </c>
      <c r="B70" s="102"/>
      <c r="C70" s="102"/>
      <c r="D70" s="102"/>
      <c r="E70" s="103"/>
      <c r="F70" s="102"/>
      <c r="G70" s="103"/>
      <c r="H70" s="103"/>
      <c r="I70" s="96" t="str">
        <f aca="false">IF(OR(G70="",H70=""),"",G70*H70)</f>
        <v/>
      </c>
      <c r="J70" s="99" t="str">
        <f aca="false">IF(I70="","",IF(I70&gt;=15,"Crítica",IF(I70&gt;=9,"Alta",IF(I70&gt;=4,"Média","Baixa"))))</f>
        <v/>
      </c>
      <c r="K70" s="102"/>
      <c r="L70" s="102"/>
      <c r="M70" s="103"/>
      <c r="N70" s="96" t="str">
        <f aca="false">IF(B70="","",COUNTIF('Mentoring - Soluções'!$C$5:$C$500,A70&amp;"*"))</f>
        <v/>
      </c>
      <c r="O70" s="104"/>
      <c r="P70" s="102"/>
      <c r="Q70" s="102"/>
      <c r="R70" s="100" t="str">
        <f aca="false">IF(B70="","",A70&amp;" · "&amp;B70)</f>
        <v/>
      </c>
    </row>
    <row r="71" customFormat="false" ht="15" hidden="false" customHeight="false" outlineLevel="0" collapsed="false">
      <c r="A71" s="93" t="s">
        <v>857</v>
      </c>
      <c r="B71" s="105"/>
      <c r="C71" s="105"/>
      <c r="D71" s="105"/>
      <c r="E71" s="106"/>
      <c r="F71" s="105"/>
      <c r="G71" s="106"/>
      <c r="H71" s="106"/>
      <c r="I71" s="96" t="str">
        <f aca="false">IF(OR(G71="",H71=""),"",G71*H71)</f>
        <v/>
      </c>
      <c r="J71" s="99" t="str">
        <f aca="false">IF(I71="","",IF(I71&gt;=15,"Crítica",IF(I71&gt;=9,"Alta",IF(I71&gt;=4,"Média","Baixa"))))</f>
        <v/>
      </c>
      <c r="K71" s="105"/>
      <c r="L71" s="105"/>
      <c r="M71" s="106"/>
      <c r="N71" s="96" t="str">
        <f aca="false">IF(B71="","",COUNTIF('Mentoring - Soluções'!$C$5:$C$500,A71&amp;"*"))</f>
        <v/>
      </c>
      <c r="O71" s="107"/>
      <c r="P71" s="105"/>
      <c r="Q71" s="105"/>
      <c r="R71" s="100" t="str">
        <f aca="false">IF(B71="","",A71&amp;" · "&amp;B71)</f>
        <v/>
      </c>
    </row>
    <row r="72" customFormat="false" ht="15" hidden="false" customHeight="false" outlineLevel="0" collapsed="false">
      <c r="A72" s="101" t="s">
        <v>858</v>
      </c>
      <c r="B72" s="102"/>
      <c r="C72" s="102"/>
      <c r="D72" s="102"/>
      <c r="E72" s="103"/>
      <c r="F72" s="102"/>
      <c r="G72" s="103"/>
      <c r="H72" s="103"/>
      <c r="I72" s="96" t="str">
        <f aca="false">IF(OR(G72="",H72=""),"",G72*H72)</f>
        <v/>
      </c>
      <c r="J72" s="99" t="str">
        <f aca="false">IF(I72="","",IF(I72&gt;=15,"Crítica",IF(I72&gt;=9,"Alta",IF(I72&gt;=4,"Média","Baixa"))))</f>
        <v/>
      </c>
      <c r="K72" s="102"/>
      <c r="L72" s="102"/>
      <c r="M72" s="103"/>
      <c r="N72" s="96" t="str">
        <f aca="false">IF(B72="","",COUNTIF('Mentoring - Soluções'!$C$5:$C$500,A72&amp;"*"))</f>
        <v/>
      </c>
      <c r="O72" s="104"/>
      <c r="P72" s="102"/>
      <c r="Q72" s="102"/>
      <c r="R72" s="100" t="str">
        <f aca="false">IF(B72="","",A72&amp;" · "&amp;B72)</f>
        <v/>
      </c>
    </row>
    <row r="73" customFormat="false" ht="15" hidden="false" customHeight="false" outlineLevel="0" collapsed="false">
      <c r="A73" s="93" t="s">
        <v>859</v>
      </c>
      <c r="B73" s="105"/>
      <c r="C73" s="105"/>
      <c r="D73" s="105"/>
      <c r="E73" s="106"/>
      <c r="F73" s="105"/>
      <c r="G73" s="106"/>
      <c r="H73" s="106"/>
      <c r="I73" s="96" t="str">
        <f aca="false">IF(OR(G73="",H73=""),"",G73*H73)</f>
        <v/>
      </c>
      <c r="J73" s="99" t="str">
        <f aca="false">IF(I73="","",IF(I73&gt;=15,"Crítica",IF(I73&gt;=9,"Alta",IF(I73&gt;=4,"Média","Baixa"))))</f>
        <v/>
      </c>
      <c r="K73" s="105"/>
      <c r="L73" s="105"/>
      <c r="M73" s="106"/>
      <c r="N73" s="96" t="str">
        <f aca="false">IF(B73="","",COUNTIF('Mentoring - Soluções'!$C$5:$C$500,A73&amp;"*"))</f>
        <v/>
      </c>
      <c r="O73" s="107"/>
      <c r="P73" s="105"/>
      <c r="Q73" s="105"/>
      <c r="R73" s="100" t="str">
        <f aca="false">IF(B73="","",A73&amp;" · "&amp;B73)</f>
        <v/>
      </c>
    </row>
    <row r="74" customFormat="false" ht="15" hidden="false" customHeight="false" outlineLevel="0" collapsed="false">
      <c r="A74" s="101" t="s">
        <v>860</v>
      </c>
      <c r="B74" s="102"/>
      <c r="C74" s="102"/>
      <c r="D74" s="102"/>
      <c r="E74" s="103"/>
      <c r="F74" s="102"/>
      <c r="G74" s="103"/>
      <c r="H74" s="103"/>
      <c r="I74" s="96" t="str">
        <f aca="false">IF(OR(G74="",H74=""),"",G74*H74)</f>
        <v/>
      </c>
      <c r="J74" s="99" t="str">
        <f aca="false">IF(I74="","",IF(I74&gt;=15,"Crítica",IF(I74&gt;=9,"Alta",IF(I74&gt;=4,"Média","Baixa"))))</f>
        <v/>
      </c>
      <c r="K74" s="102"/>
      <c r="L74" s="102"/>
      <c r="M74" s="103"/>
      <c r="N74" s="96" t="str">
        <f aca="false">IF(B74="","",COUNTIF('Mentoring - Soluções'!$C$5:$C$500,A74&amp;"*"))</f>
        <v/>
      </c>
      <c r="O74" s="104"/>
      <c r="P74" s="102"/>
      <c r="Q74" s="102"/>
      <c r="R74" s="100" t="str">
        <f aca="false">IF(B74="","",A74&amp;" · "&amp;B74)</f>
        <v/>
      </c>
    </row>
    <row r="75" customFormat="false" ht="15" hidden="false" customHeight="false" outlineLevel="0" collapsed="false">
      <c r="A75" s="93" t="s">
        <v>861</v>
      </c>
      <c r="B75" s="105"/>
      <c r="C75" s="105"/>
      <c r="D75" s="105"/>
      <c r="E75" s="106"/>
      <c r="F75" s="105"/>
      <c r="G75" s="106"/>
      <c r="H75" s="106"/>
      <c r="I75" s="96" t="str">
        <f aca="false">IF(OR(G75="",H75=""),"",G75*H75)</f>
        <v/>
      </c>
      <c r="J75" s="99" t="str">
        <f aca="false">IF(I75="","",IF(I75&gt;=15,"Crítica",IF(I75&gt;=9,"Alta",IF(I75&gt;=4,"Média","Baixa"))))</f>
        <v/>
      </c>
      <c r="K75" s="105"/>
      <c r="L75" s="105"/>
      <c r="M75" s="106"/>
      <c r="N75" s="96" t="str">
        <f aca="false">IF(B75="","",COUNTIF('Mentoring - Soluções'!$C$5:$C$500,A75&amp;"*"))</f>
        <v/>
      </c>
      <c r="O75" s="107"/>
      <c r="P75" s="105"/>
      <c r="Q75" s="105"/>
      <c r="R75" s="100" t="str">
        <f aca="false">IF(B75="","",A75&amp;" · "&amp;B75)</f>
        <v/>
      </c>
    </row>
    <row r="76" customFormat="false" ht="15" hidden="false" customHeight="false" outlineLevel="0" collapsed="false">
      <c r="A76" s="101" t="s">
        <v>862</v>
      </c>
      <c r="B76" s="102"/>
      <c r="C76" s="102"/>
      <c r="D76" s="102"/>
      <c r="E76" s="103"/>
      <c r="F76" s="102"/>
      <c r="G76" s="103"/>
      <c r="H76" s="103"/>
      <c r="I76" s="96" t="str">
        <f aca="false">IF(OR(G76="",H76=""),"",G76*H76)</f>
        <v/>
      </c>
      <c r="J76" s="99" t="str">
        <f aca="false">IF(I76="","",IF(I76&gt;=15,"Crítica",IF(I76&gt;=9,"Alta",IF(I76&gt;=4,"Média","Baixa"))))</f>
        <v/>
      </c>
      <c r="K76" s="102"/>
      <c r="L76" s="102"/>
      <c r="M76" s="103"/>
      <c r="N76" s="96" t="str">
        <f aca="false">IF(B76="","",COUNTIF('Mentoring - Soluções'!$C$5:$C$500,A76&amp;"*"))</f>
        <v/>
      </c>
      <c r="O76" s="104"/>
      <c r="P76" s="102"/>
      <c r="Q76" s="102"/>
      <c r="R76" s="100" t="str">
        <f aca="false">IF(B76="","",A76&amp;" · "&amp;B76)</f>
        <v/>
      </c>
    </row>
    <row r="77" customFormat="false" ht="15" hidden="false" customHeight="false" outlineLevel="0" collapsed="false">
      <c r="A77" s="93" t="s">
        <v>863</v>
      </c>
      <c r="B77" s="105"/>
      <c r="C77" s="105"/>
      <c r="D77" s="105"/>
      <c r="E77" s="106"/>
      <c r="F77" s="105"/>
      <c r="G77" s="106"/>
      <c r="H77" s="106"/>
      <c r="I77" s="96" t="str">
        <f aca="false">IF(OR(G77="",H77=""),"",G77*H77)</f>
        <v/>
      </c>
      <c r="J77" s="99" t="str">
        <f aca="false">IF(I77="","",IF(I77&gt;=15,"Crítica",IF(I77&gt;=9,"Alta",IF(I77&gt;=4,"Média","Baixa"))))</f>
        <v/>
      </c>
      <c r="K77" s="105"/>
      <c r="L77" s="105"/>
      <c r="M77" s="106"/>
      <c r="N77" s="96" t="str">
        <f aca="false">IF(B77="","",COUNTIF('Mentoring - Soluções'!$C$5:$C$500,A77&amp;"*"))</f>
        <v/>
      </c>
      <c r="O77" s="107"/>
      <c r="P77" s="105"/>
      <c r="Q77" s="105"/>
      <c r="R77" s="100" t="str">
        <f aca="false">IF(B77="","",A77&amp;" · "&amp;B77)</f>
        <v/>
      </c>
    </row>
    <row r="78" customFormat="false" ht="15" hidden="false" customHeight="false" outlineLevel="0" collapsed="false">
      <c r="A78" s="101" t="s">
        <v>864</v>
      </c>
      <c r="B78" s="102"/>
      <c r="C78" s="102"/>
      <c r="D78" s="102"/>
      <c r="E78" s="103"/>
      <c r="F78" s="102"/>
      <c r="G78" s="103"/>
      <c r="H78" s="103"/>
      <c r="I78" s="96" t="str">
        <f aca="false">IF(OR(G78="",H78=""),"",G78*H78)</f>
        <v/>
      </c>
      <c r="J78" s="99" t="str">
        <f aca="false">IF(I78="","",IF(I78&gt;=15,"Crítica",IF(I78&gt;=9,"Alta",IF(I78&gt;=4,"Média","Baixa"))))</f>
        <v/>
      </c>
      <c r="K78" s="102"/>
      <c r="L78" s="102"/>
      <c r="M78" s="103"/>
      <c r="N78" s="96" t="str">
        <f aca="false">IF(B78="","",COUNTIF('Mentoring - Soluções'!$C$5:$C$500,A78&amp;"*"))</f>
        <v/>
      </c>
      <c r="O78" s="104"/>
      <c r="P78" s="102"/>
      <c r="Q78" s="102"/>
      <c r="R78" s="100" t="str">
        <f aca="false">IF(B78="","",A78&amp;" · "&amp;B78)</f>
        <v/>
      </c>
    </row>
    <row r="79" customFormat="false" ht="15" hidden="false" customHeight="false" outlineLevel="0" collapsed="false">
      <c r="A79" s="93" t="s">
        <v>865</v>
      </c>
      <c r="B79" s="105"/>
      <c r="C79" s="105"/>
      <c r="D79" s="105"/>
      <c r="E79" s="106"/>
      <c r="F79" s="105"/>
      <c r="G79" s="106"/>
      <c r="H79" s="106"/>
      <c r="I79" s="96" t="str">
        <f aca="false">IF(OR(G79="",H79=""),"",G79*H79)</f>
        <v/>
      </c>
      <c r="J79" s="99" t="str">
        <f aca="false">IF(I79="","",IF(I79&gt;=15,"Crítica",IF(I79&gt;=9,"Alta",IF(I79&gt;=4,"Média","Baixa"))))</f>
        <v/>
      </c>
      <c r="K79" s="105"/>
      <c r="L79" s="105"/>
      <c r="M79" s="106"/>
      <c r="N79" s="96" t="str">
        <f aca="false">IF(B79="","",COUNTIF('Mentoring - Soluções'!$C$5:$C$500,A79&amp;"*"))</f>
        <v/>
      </c>
      <c r="O79" s="107"/>
      <c r="P79" s="105"/>
      <c r="Q79" s="105"/>
      <c r="R79" s="100" t="str">
        <f aca="false">IF(B79="","",A79&amp;" · "&amp;B79)</f>
        <v/>
      </c>
    </row>
    <row r="80" customFormat="false" ht="15" hidden="false" customHeight="false" outlineLevel="0" collapsed="false">
      <c r="A80" s="101" t="s">
        <v>866</v>
      </c>
      <c r="B80" s="102"/>
      <c r="C80" s="102"/>
      <c r="D80" s="102"/>
      <c r="E80" s="103"/>
      <c r="F80" s="102"/>
      <c r="G80" s="103"/>
      <c r="H80" s="103"/>
      <c r="I80" s="96" t="str">
        <f aca="false">IF(OR(G80="",H80=""),"",G80*H80)</f>
        <v/>
      </c>
      <c r="J80" s="99" t="str">
        <f aca="false">IF(I80="","",IF(I80&gt;=15,"Crítica",IF(I80&gt;=9,"Alta",IF(I80&gt;=4,"Média","Baixa"))))</f>
        <v/>
      </c>
      <c r="K80" s="102"/>
      <c r="L80" s="102"/>
      <c r="M80" s="103"/>
      <c r="N80" s="96" t="str">
        <f aca="false">IF(B80="","",COUNTIF('Mentoring - Soluções'!$C$5:$C$500,A80&amp;"*"))</f>
        <v/>
      </c>
      <c r="O80" s="104"/>
      <c r="P80" s="102"/>
      <c r="Q80" s="102"/>
      <c r="R80" s="100" t="str">
        <f aca="false">IF(B80="","",A80&amp;" · "&amp;B80)</f>
        <v/>
      </c>
    </row>
    <row r="81" customFormat="false" ht="15" hidden="false" customHeight="false" outlineLevel="0" collapsed="false">
      <c r="A81" s="93" t="s">
        <v>867</v>
      </c>
      <c r="B81" s="105"/>
      <c r="C81" s="105"/>
      <c r="D81" s="105"/>
      <c r="E81" s="106"/>
      <c r="F81" s="105"/>
      <c r="G81" s="106"/>
      <c r="H81" s="106"/>
      <c r="I81" s="96" t="str">
        <f aca="false">IF(OR(G81="",H81=""),"",G81*H81)</f>
        <v/>
      </c>
      <c r="J81" s="99" t="str">
        <f aca="false">IF(I81="","",IF(I81&gt;=15,"Crítica",IF(I81&gt;=9,"Alta",IF(I81&gt;=4,"Média","Baixa"))))</f>
        <v/>
      </c>
      <c r="K81" s="105"/>
      <c r="L81" s="105"/>
      <c r="M81" s="106"/>
      <c r="N81" s="96" t="str">
        <f aca="false">IF(B81="","",COUNTIF('Mentoring - Soluções'!$C$5:$C$500,A81&amp;"*"))</f>
        <v/>
      </c>
      <c r="O81" s="107"/>
      <c r="P81" s="105"/>
      <c r="Q81" s="105"/>
      <c r="R81" s="100" t="str">
        <f aca="false">IF(B81="","",A81&amp;" · "&amp;B81)</f>
        <v/>
      </c>
    </row>
    <row r="82" customFormat="false" ht="15" hidden="false" customHeight="false" outlineLevel="0" collapsed="false">
      <c r="A82" s="101" t="s">
        <v>868</v>
      </c>
      <c r="B82" s="102"/>
      <c r="C82" s="102"/>
      <c r="D82" s="102"/>
      <c r="E82" s="103"/>
      <c r="F82" s="102"/>
      <c r="G82" s="103"/>
      <c r="H82" s="103"/>
      <c r="I82" s="96" t="str">
        <f aca="false">IF(OR(G82="",H82=""),"",G82*H82)</f>
        <v/>
      </c>
      <c r="J82" s="99" t="str">
        <f aca="false">IF(I82="","",IF(I82&gt;=15,"Crítica",IF(I82&gt;=9,"Alta",IF(I82&gt;=4,"Média","Baixa"))))</f>
        <v/>
      </c>
      <c r="K82" s="102"/>
      <c r="L82" s="102"/>
      <c r="M82" s="103"/>
      <c r="N82" s="96" t="str">
        <f aca="false">IF(B82="","",COUNTIF('Mentoring - Soluções'!$C$5:$C$500,A82&amp;"*"))</f>
        <v/>
      </c>
      <c r="O82" s="104"/>
      <c r="P82" s="102"/>
      <c r="Q82" s="102"/>
      <c r="R82" s="100" t="str">
        <f aca="false">IF(B82="","",A82&amp;" · "&amp;B82)</f>
        <v/>
      </c>
    </row>
    <row r="83" customFormat="false" ht="15" hidden="false" customHeight="false" outlineLevel="0" collapsed="false">
      <c r="A83" s="93" t="s">
        <v>869</v>
      </c>
      <c r="B83" s="105"/>
      <c r="C83" s="105"/>
      <c r="D83" s="105"/>
      <c r="E83" s="106"/>
      <c r="F83" s="105"/>
      <c r="G83" s="106"/>
      <c r="H83" s="106"/>
      <c r="I83" s="96" t="str">
        <f aca="false">IF(OR(G83="",H83=""),"",G83*H83)</f>
        <v/>
      </c>
      <c r="J83" s="99" t="str">
        <f aca="false">IF(I83="","",IF(I83&gt;=15,"Crítica",IF(I83&gt;=9,"Alta",IF(I83&gt;=4,"Média","Baixa"))))</f>
        <v/>
      </c>
      <c r="K83" s="105"/>
      <c r="L83" s="105"/>
      <c r="M83" s="106"/>
      <c r="N83" s="96" t="str">
        <f aca="false">IF(B83="","",COUNTIF('Mentoring - Soluções'!$C$5:$C$500,A83&amp;"*"))</f>
        <v/>
      </c>
      <c r="O83" s="107"/>
      <c r="P83" s="105"/>
      <c r="Q83" s="105"/>
      <c r="R83" s="100" t="str">
        <f aca="false">IF(B83="","",A83&amp;" · "&amp;B83)</f>
        <v/>
      </c>
    </row>
    <row r="84" customFormat="false" ht="15" hidden="false" customHeight="false" outlineLevel="0" collapsed="false">
      <c r="A84" s="101" t="s">
        <v>870</v>
      </c>
      <c r="B84" s="102"/>
      <c r="C84" s="102"/>
      <c r="D84" s="102"/>
      <c r="E84" s="103"/>
      <c r="F84" s="102"/>
      <c r="G84" s="103"/>
      <c r="H84" s="103"/>
      <c r="I84" s="96" t="str">
        <f aca="false">IF(OR(G84="",H84=""),"",G84*H84)</f>
        <v/>
      </c>
      <c r="J84" s="99" t="str">
        <f aca="false">IF(I84="","",IF(I84&gt;=15,"Crítica",IF(I84&gt;=9,"Alta",IF(I84&gt;=4,"Média","Baixa"))))</f>
        <v/>
      </c>
      <c r="K84" s="102"/>
      <c r="L84" s="102"/>
      <c r="M84" s="103"/>
      <c r="N84" s="96" t="str">
        <f aca="false">IF(B84="","",COUNTIF('Mentoring - Soluções'!$C$5:$C$500,A84&amp;"*"))</f>
        <v/>
      </c>
      <c r="O84" s="104"/>
      <c r="P84" s="102"/>
      <c r="Q84" s="102"/>
      <c r="R84" s="100" t="str">
        <f aca="false">IF(B84="","",A84&amp;" · "&amp;B84)</f>
        <v/>
      </c>
    </row>
    <row r="85" customFormat="false" ht="15" hidden="false" customHeight="false" outlineLevel="0" collapsed="false">
      <c r="A85" s="93" t="s">
        <v>871</v>
      </c>
      <c r="B85" s="105"/>
      <c r="C85" s="105"/>
      <c r="D85" s="105"/>
      <c r="E85" s="106"/>
      <c r="F85" s="105"/>
      <c r="G85" s="106"/>
      <c r="H85" s="106"/>
      <c r="I85" s="96" t="str">
        <f aca="false">IF(OR(G85="",H85=""),"",G85*H85)</f>
        <v/>
      </c>
      <c r="J85" s="99" t="str">
        <f aca="false">IF(I85="","",IF(I85&gt;=15,"Crítica",IF(I85&gt;=9,"Alta",IF(I85&gt;=4,"Média","Baixa"))))</f>
        <v/>
      </c>
      <c r="K85" s="105"/>
      <c r="L85" s="105"/>
      <c r="M85" s="106"/>
      <c r="N85" s="96" t="str">
        <f aca="false">IF(B85="","",COUNTIF('Mentoring - Soluções'!$C$5:$C$500,A85&amp;"*"))</f>
        <v/>
      </c>
      <c r="O85" s="107"/>
      <c r="P85" s="105"/>
      <c r="Q85" s="105"/>
      <c r="R85" s="100" t="str">
        <f aca="false">IF(B85="","",A85&amp;" · "&amp;B85)</f>
        <v/>
      </c>
    </row>
    <row r="86" customFormat="false" ht="15" hidden="false" customHeight="false" outlineLevel="0" collapsed="false">
      <c r="A86" s="101" t="s">
        <v>872</v>
      </c>
      <c r="B86" s="102"/>
      <c r="C86" s="102"/>
      <c r="D86" s="102"/>
      <c r="E86" s="103"/>
      <c r="F86" s="102"/>
      <c r="G86" s="103"/>
      <c r="H86" s="103"/>
      <c r="I86" s="96" t="str">
        <f aca="false">IF(OR(G86="",H86=""),"",G86*H86)</f>
        <v/>
      </c>
      <c r="J86" s="99" t="str">
        <f aca="false">IF(I86="","",IF(I86&gt;=15,"Crítica",IF(I86&gt;=9,"Alta",IF(I86&gt;=4,"Média","Baixa"))))</f>
        <v/>
      </c>
      <c r="K86" s="102"/>
      <c r="L86" s="102"/>
      <c r="M86" s="103"/>
      <c r="N86" s="96" t="str">
        <f aca="false">IF(B86="","",COUNTIF('Mentoring - Soluções'!$C$5:$C$500,A86&amp;"*"))</f>
        <v/>
      </c>
      <c r="O86" s="104"/>
      <c r="P86" s="102"/>
      <c r="Q86" s="102"/>
      <c r="R86" s="100" t="str">
        <f aca="false">IF(B86="","",A86&amp;" · "&amp;B86)</f>
        <v/>
      </c>
    </row>
    <row r="87" customFormat="false" ht="15" hidden="false" customHeight="false" outlineLevel="0" collapsed="false">
      <c r="A87" s="93" t="s">
        <v>873</v>
      </c>
      <c r="B87" s="105"/>
      <c r="C87" s="105"/>
      <c r="D87" s="105"/>
      <c r="E87" s="106"/>
      <c r="F87" s="105"/>
      <c r="G87" s="106"/>
      <c r="H87" s="106"/>
      <c r="I87" s="96" t="str">
        <f aca="false">IF(OR(G87="",H87=""),"",G87*H87)</f>
        <v/>
      </c>
      <c r="J87" s="99" t="str">
        <f aca="false">IF(I87="","",IF(I87&gt;=15,"Crítica",IF(I87&gt;=9,"Alta",IF(I87&gt;=4,"Média","Baixa"))))</f>
        <v/>
      </c>
      <c r="K87" s="105"/>
      <c r="L87" s="105"/>
      <c r="M87" s="106"/>
      <c r="N87" s="96" t="str">
        <f aca="false">IF(B87="","",COUNTIF('Mentoring - Soluções'!$C$5:$C$500,A87&amp;"*"))</f>
        <v/>
      </c>
      <c r="O87" s="107"/>
      <c r="P87" s="105"/>
      <c r="Q87" s="105"/>
      <c r="R87" s="100" t="str">
        <f aca="false">IF(B87="","",A87&amp;" · "&amp;B87)</f>
        <v/>
      </c>
    </row>
    <row r="88" customFormat="false" ht="15" hidden="false" customHeight="false" outlineLevel="0" collapsed="false">
      <c r="A88" s="101" t="s">
        <v>874</v>
      </c>
      <c r="B88" s="102"/>
      <c r="C88" s="102"/>
      <c r="D88" s="102"/>
      <c r="E88" s="103"/>
      <c r="F88" s="102"/>
      <c r="G88" s="103"/>
      <c r="H88" s="103"/>
      <c r="I88" s="96" t="str">
        <f aca="false">IF(OR(G88="",H88=""),"",G88*H88)</f>
        <v/>
      </c>
      <c r="J88" s="99" t="str">
        <f aca="false">IF(I88="","",IF(I88&gt;=15,"Crítica",IF(I88&gt;=9,"Alta",IF(I88&gt;=4,"Média","Baixa"))))</f>
        <v/>
      </c>
      <c r="K88" s="102"/>
      <c r="L88" s="102"/>
      <c r="M88" s="103"/>
      <c r="N88" s="96" t="str">
        <f aca="false">IF(B88="","",COUNTIF('Mentoring - Soluções'!$C$5:$C$500,A88&amp;"*"))</f>
        <v/>
      </c>
      <c r="O88" s="104"/>
      <c r="P88" s="102"/>
      <c r="Q88" s="102"/>
      <c r="R88" s="100" t="str">
        <f aca="false">IF(B88="","",A88&amp;" · "&amp;B88)</f>
        <v/>
      </c>
    </row>
    <row r="89" customFormat="false" ht="15" hidden="false" customHeight="false" outlineLevel="0" collapsed="false">
      <c r="A89" s="93" t="s">
        <v>875</v>
      </c>
      <c r="B89" s="105"/>
      <c r="C89" s="105"/>
      <c r="D89" s="105"/>
      <c r="E89" s="106"/>
      <c r="F89" s="105"/>
      <c r="G89" s="106"/>
      <c r="H89" s="106"/>
      <c r="I89" s="96" t="str">
        <f aca="false">IF(OR(G89="",H89=""),"",G89*H89)</f>
        <v/>
      </c>
      <c r="J89" s="99" t="str">
        <f aca="false">IF(I89="","",IF(I89&gt;=15,"Crítica",IF(I89&gt;=9,"Alta",IF(I89&gt;=4,"Média","Baixa"))))</f>
        <v/>
      </c>
      <c r="K89" s="105"/>
      <c r="L89" s="105"/>
      <c r="M89" s="106"/>
      <c r="N89" s="96" t="str">
        <f aca="false">IF(B89="","",COUNTIF('Mentoring - Soluções'!$C$5:$C$500,A89&amp;"*"))</f>
        <v/>
      </c>
      <c r="O89" s="107"/>
      <c r="P89" s="105"/>
      <c r="Q89" s="105"/>
      <c r="R89" s="100" t="str">
        <f aca="false">IF(B89="","",A89&amp;" · "&amp;B89)</f>
        <v/>
      </c>
    </row>
    <row r="90" customFormat="false" ht="15" hidden="false" customHeight="false" outlineLevel="0" collapsed="false">
      <c r="A90" s="101" t="s">
        <v>876</v>
      </c>
      <c r="B90" s="102"/>
      <c r="C90" s="102"/>
      <c r="D90" s="102"/>
      <c r="E90" s="103"/>
      <c r="F90" s="102"/>
      <c r="G90" s="103"/>
      <c r="H90" s="103"/>
      <c r="I90" s="96" t="str">
        <f aca="false">IF(OR(G90="",H90=""),"",G90*H90)</f>
        <v/>
      </c>
      <c r="J90" s="99" t="str">
        <f aca="false">IF(I90="","",IF(I90&gt;=15,"Crítica",IF(I90&gt;=9,"Alta",IF(I90&gt;=4,"Média","Baixa"))))</f>
        <v/>
      </c>
      <c r="K90" s="102"/>
      <c r="L90" s="102"/>
      <c r="M90" s="103"/>
      <c r="N90" s="96" t="str">
        <f aca="false">IF(B90="","",COUNTIF('Mentoring - Soluções'!$C$5:$C$500,A90&amp;"*"))</f>
        <v/>
      </c>
      <c r="O90" s="104"/>
      <c r="P90" s="102"/>
      <c r="Q90" s="102"/>
      <c r="R90" s="100" t="str">
        <f aca="false">IF(B90="","",A90&amp;" · "&amp;B90)</f>
        <v/>
      </c>
    </row>
    <row r="91" customFormat="false" ht="15" hidden="false" customHeight="false" outlineLevel="0" collapsed="false">
      <c r="A91" s="93" t="s">
        <v>877</v>
      </c>
      <c r="B91" s="105"/>
      <c r="C91" s="105"/>
      <c r="D91" s="105"/>
      <c r="E91" s="106"/>
      <c r="F91" s="105"/>
      <c r="G91" s="106"/>
      <c r="H91" s="106"/>
      <c r="I91" s="96" t="str">
        <f aca="false">IF(OR(G91="",H91=""),"",G91*H91)</f>
        <v/>
      </c>
      <c r="J91" s="99" t="str">
        <f aca="false">IF(I91="","",IF(I91&gt;=15,"Crítica",IF(I91&gt;=9,"Alta",IF(I91&gt;=4,"Média","Baixa"))))</f>
        <v/>
      </c>
      <c r="K91" s="105"/>
      <c r="L91" s="105"/>
      <c r="M91" s="106"/>
      <c r="N91" s="96" t="str">
        <f aca="false">IF(B91="","",COUNTIF('Mentoring - Soluções'!$C$5:$C$500,A91&amp;"*"))</f>
        <v/>
      </c>
      <c r="O91" s="107"/>
      <c r="P91" s="105"/>
      <c r="Q91" s="105"/>
      <c r="R91" s="100" t="str">
        <f aca="false">IF(B91="","",A91&amp;" · "&amp;B91)</f>
        <v/>
      </c>
    </row>
    <row r="92" customFormat="false" ht="15" hidden="false" customHeight="false" outlineLevel="0" collapsed="false">
      <c r="A92" s="101" t="s">
        <v>878</v>
      </c>
      <c r="B92" s="102"/>
      <c r="C92" s="102"/>
      <c r="D92" s="102"/>
      <c r="E92" s="103"/>
      <c r="F92" s="102"/>
      <c r="G92" s="103"/>
      <c r="H92" s="103"/>
      <c r="I92" s="96" t="str">
        <f aca="false">IF(OR(G92="",H92=""),"",G92*H92)</f>
        <v/>
      </c>
      <c r="J92" s="99" t="str">
        <f aca="false">IF(I92="","",IF(I92&gt;=15,"Crítica",IF(I92&gt;=9,"Alta",IF(I92&gt;=4,"Média","Baixa"))))</f>
        <v/>
      </c>
      <c r="K92" s="102"/>
      <c r="L92" s="102"/>
      <c r="M92" s="103"/>
      <c r="N92" s="96" t="str">
        <f aca="false">IF(B92="","",COUNTIF('Mentoring - Soluções'!$C$5:$C$500,A92&amp;"*"))</f>
        <v/>
      </c>
      <c r="O92" s="104"/>
      <c r="P92" s="102"/>
      <c r="Q92" s="102"/>
      <c r="R92" s="100" t="str">
        <f aca="false">IF(B92="","",A92&amp;" · "&amp;B92)</f>
        <v/>
      </c>
    </row>
    <row r="93" customFormat="false" ht="15" hidden="false" customHeight="false" outlineLevel="0" collapsed="false">
      <c r="A93" s="93" t="s">
        <v>879</v>
      </c>
      <c r="B93" s="105"/>
      <c r="C93" s="105"/>
      <c r="D93" s="105"/>
      <c r="E93" s="106"/>
      <c r="F93" s="105"/>
      <c r="G93" s="106"/>
      <c r="H93" s="106"/>
      <c r="I93" s="96" t="str">
        <f aca="false">IF(OR(G93="",H93=""),"",G93*H93)</f>
        <v/>
      </c>
      <c r="J93" s="99" t="str">
        <f aca="false">IF(I93="","",IF(I93&gt;=15,"Crítica",IF(I93&gt;=9,"Alta",IF(I93&gt;=4,"Média","Baixa"))))</f>
        <v/>
      </c>
      <c r="K93" s="105"/>
      <c r="L93" s="105"/>
      <c r="M93" s="106"/>
      <c r="N93" s="96" t="str">
        <f aca="false">IF(B93="","",COUNTIF('Mentoring - Soluções'!$C$5:$C$500,A93&amp;"*"))</f>
        <v/>
      </c>
      <c r="O93" s="107"/>
      <c r="P93" s="105"/>
      <c r="Q93" s="105"/>
      <c r="R93" s="100" t="str">
        <f aca="false">IF(B93="","",A93&amp;" · "&amp;B93)</f>
        <v/>
      </c>
    </row>
    <row r="94" customFormat="false" ht="15" hidden="false" customHeight="false" outlineLevel="0" collapsed="false">
      <c r="A94" s="101" t="s">
        <v>880</v>
      </c>
      <c r="B94" s="102"/>
      <c r="C94" s="102"/>
      <c r="D94" s="102"/>
      <c r="E94" s="103"/>
      <c r="F94" s="102"/>
      <c r="G94" s="103"/>
      <c r="H94" s="103"/>
      <c r="I94" s="96" t="str">
        <f aca="false">IF(OR(G94="",H94=""),"",G94*H94)</f>
        <v/>
      </c>
      <c r="J94" s="99" t="str">
        <f aca="false">IF(I94="","",IF(I94&gt;=15,"Crítica",IF(I94&gt;=9,"Alta",IF(I94&gt;=4,"Média","Baixa"))))</f>
        <v/>
      </c>
      <c r="K94" s="102"/>
      <c r="L94" s="102"/>
      <c r="M94" s="103"/>
      <c r="N94" s="96" t="str">
        <f aca="false">IF(B94="","",COUNTIF('Mentoring - Soluções'!$C$5:$C$500,A94&amp;"*"))</f>
        <v/>
      </c>
      <c r="O94" s="104"/>
      <c r="P94" s="102"/>
      <c r="Q94" s="102"/>
      <c r="R94" s="100" t="str">
        <f aca="false">IF(B94="","",A94&amp;" · "&amp;B94)</f>
        <v/>
      </c>
    </row>
    <row r="95" customFormat="false" ht="15" hidden="false" customHeight="false" outlineLevel="0" collapsed="false">
      <c r="A95" s="93" t="s">
        <v>881</v>
      </c>
      <c r="B95" s="105"/>
      <c r="C95" s="105"/>
      <c r="D95" s="105"/>
      <c r="E95" s="106"/>
      <c r="F95" s="105"/>
      <c r="G95" s="106"/>
      <c r="H95" s="106"/>
      <c r="I95" s="96" t="str">
        <f aca="false">IF(OR(G95="",H95=""),"",G95*H95)</f>
        <v/>
      </c>
      <c r="J95" s="99" t="str">
        <f aca="false">IF(I95="","",IF(I95&gt;=15,"Crítica",IF(I95&gt;=9,"Alta",IF(I95&gt;=4,"Média","Baixa"))))</f>
        <v/>
      </c>
      <c r="K95" s="105"/>
      <c r="L95" s="105"/>
      <c r="M95" s="106"/>
      <c r="N95" s="96" t="str">
        <f aca="false">IF(B95="","",COUNTIF('Mentoring - Soluções'!$C$5:$C$500,A95&amp;"*"))</f>
        <v/>
      </c>
      <c r="O95" s="107"/>
      <c r="P95" s="105"/>
      <c r="Q95" s="105"/>
      <c r="R95" s="100" t="str">
        <f aca="false">IF(B95="","",A95&amp;" · "&amp;B95)</f>
        <v/>
      </c>
    </row>
    <row r="96" customFormat="false" ht="15" hidden="false" customHeight="false" outlineLevel="0" collapsed="false">
      <c r="A96" s="101" t="s">
        <v>882</v>
      </c>
      <c r="B96" s="102"/>
      <c r="C96" s="102"/>
      <c r="D96" s="102"/>
      <c r="E96" s="103"/>
      <c r="F96" s="102"/>
      <c r="G96" s="103"/>
      <c r="H96" s="103"/>
      <c r="I96" s="96" t="str">
        <f aca="false">IF(OR(G96="",H96=""),"",G96*H96)</f>
        <v/>
      </c>
      <c r="J96" s="99" t="str">
        <f aca="false">IF(I96="","",IF(I96&gt;=15,"Crítica",IF(I96&gt;=9,"Alta",IF(I96&gt;=4,"Média","Baixa"))))</f>
        <v/>
      </c>
      <c r="K96" s="102"/>
      <c r="L96" s="102"/>
      <c r="M96" s="103"/>
      <c r="N96" s="96" t="str">
        <f aca="false">IF(B96="","",COUNTIF('Mentoring - Soluções'!$C$5:$C$500,A96&amp;"*"))</f>
        <v/>
      </c>
      <c r="O96" s="104"/>
      <c r="P96" s="102"/>
      <c r="Q96" s="102"/>
      <c r="R96" s="100" t="str">
        <f aca="false">IF(B96="","",A96&amp;" · "&amp;B96)</f>
        <v/>
      </c>
    </row>
    <row r="97" customFormat="false" ht="15" hidden="false" customHeight="false" outlineLevel="0" collapsed="false">
      <c r="A97" s="93" t="s">
        <v>883</v>
      </c>
      <c r="B97" s="105"/>
      <c r="C97" s="105"/>
      <c r="D97" s="105"/>
      <c r="E97" s="106"/>
      <c r="F97" s="105"/>
      <c r="G97" s="106"/>
      <c r="H97" s="106"/>
      <c r="I97" s="96" t="str">
        <f aca="false">IF(OR(G97="",H97=""),"",G97*H97)</f>
        <v/>
      </c>
      <c r="J97" s="99" t="str">
        <f aca="false">IF(I97="","",IF(I97&gt;=15,"Crítica",IF(I97&gt;=9,"Alta",IF(I97&gt;=4,"Média","Baixa"))))</f>
        <v/>
      </c>
      <c r="K97" s="105"/>
      <c r="L97" s="105"/>
      <c r="M97" s="106"/>
      <c r="N97" s="96" t="str">
        <f aca="false">IF(B97="","",COUNTIF('Mentoring - Soluções'!$C$5:$C$500,A97&amp;"*"))</f>
        <v/>
      </c>
      <c r="O97" s="107"/>
      <c r="P97" s="105"/>
      <c r="Q97" s="105"/>
      <c r="R97" s="100" t="str">
        <f aca="false">IF(B97="","",A97&amp;" · "&amp;B97)</f>
        <v/>
      </c>
    </row>
    <row r="98" customFormat="false" ht="15" hidden="false" customHeight="false" outlineLevel="0" collapsed="false">
      <c r="A98" s="101" t="s">
        <v>884</v>
      </c>
      <c r="B98" s="102"/>
      <c r="C98" s="102"/>
      <c r="D98" s="102"/>
      <c r="E98" s="103"/>
      <c r="F98" s="102"/>
      <c r="G98" s="103"/>
      <c r="H98" s="103"/>
      <c r="I98" s="96" t="str">
        <f aca="false">IF(OR(G98="",H98=""),"",G98*H98)</f>
        <v/>
      </c>
      <c r="J98" s="99" t="str">
        <f aca="false">IF(I98="","",IF(I98&gt;=15,"Crítica",IF(I98&gt;=9,"Alta",IF(I98&gt;=4,"Média","Baixa"))))</f>
        <v/>
      </c>
      <c r="K98" s="102"/>
      <c r="L98" s="102"/>
      <c r="M98" s="103"/>
      <c r="N98" s="96" t="str">
        <f aca="false">IF(B98="","",COUNTIF('Mentoring - Soluções'!$C$5:$C$500,A98&amp;"*"))</f>
        <v/>
      </c>
      <c r="O98" s="104"/>
      <c r="P98" s="102"/>
      <c r="Q98" s="102"/>
      <c r="R98" s="100" t="str">
        <f aca="false">IF(B98="","",A98&amp;" · "&amp;B98)</f>
        <v/>
      </c>
    </row>
    <row r="99" customFormat="false" ht="15" hidden="false" customHeight="false" outlineLevel="0" collapsed="false">
      <c r="A99" s="93" t="s">
        <v>885</v>
      </c>
      <c r="B99" s="105"/>
      <c r="C99" s="105"/>
      <c r="D99" s="105"/>
      <c r="E99" s="106"/>
      <c r="F99" s="105"/>
      <c r="G99" s="106"/>
      <c r="H99" s="106"/>
      <c r="I99" s="96" t="str">
        <f aca="false">IF(OR(G99="",H99=""),"",G99*H99)</f>
        <v/>
      </c>
      <c r="J99" s="99" t="str">
        <f aca="false">IF(I99="","",IF(I99&gt;=15,"Crítica",IF(I99&gt;=9,"Alta",IF(I99&gt;=4,"Média","Baixa"))))</f>
        <v/>
      </c>
      <c r="K99" s="105"/>
      <c r="L99" s="105"/>
      <c r="M99" s="106"/>
      <c r="N99" s="96" t="str">
        <f aca="false">IF(B99="","",COUNTIF('Mentoring - Soluções'!$C$5:$C$500,A99&amp;"*"))</f>
        <v/>
      </c>
      <c r="O99" s="107"/>
      <c r="P99" s="105"/>
      <c r="Q99" s="105"/>
      <c r="R99" s="100" t="str">
        <f aca="false">IF(B99="","",A99&amp;" · "&amp;B99)</f>
        <v/>
      </c>
    </row>
    <row r="100" customFormat="false" ht="15" hidden="false" customHeight="false" outlineLevel="0" collapsed="false">
      <c r="A100" s="101" t="s">
        <v>886</v>
      </c>
      <c r="B100" s="102"/>
      <c r="C100" s="102"/>
      <c r="D100" s="102"/>
      <c r="E100" s="103"/>
      <c r="F100" s="102"/>
      <c r="G100" s="103"/>
      <c r="H100" s="103"/>
      <c r="I100" s="96" t="str">
        <f aca="false">IF(OR(G100="",H100=""),"",G100*H100)</f>
        <v/>
      </c>
      <c r="J100" s="99" t="str">
        <f aca="false">IF(I100="","",IF(I100&gt;=15,"Crítica",IF(I100&gt;=9,"Alta",IF(I100&gt;=4,"Média","Baixa"))))</f>
        <v/>
      </c>
      <c r="K100" s="102"/>
      <c r="L100" s="102"/>
      <c r="M100" s="103"/>
      <c r="N100" s="96" t="str">
        <f aca="false">IF(B100="","",COUNTIF('Mentoring - Soluções'!$C$5:$C$500,A100&amp;"*"))</f>
        <v/>
      </c>
      <c r="O100" s="104"/>
      <c r="P100" s="102"/>
      <c r="Q100" s="102"/>
      <c r="R100" s="100" t="str">
        <f aca="false">IF(B100="","",A100&amp;" · "&amp;B100)</f>
        <v/>
      </c>
    </row>
    <row r="101" customFormat="false" ht="15" hidden="false" customHeight="false" outlineLevel="0" collapsed="false">
      <c r="A101" s="93" t="s">
        <v>887</v>
      </c>
      <c r="B101" s="105"/>
      <c r="C101" s="105"/>
      <c r="D101" s="105"/>
      <c r="E101" s="106"/>
      <c r="F101" s="105"/>
      <c r="G101" s="106"/>
      <c r="H101" s="106"/>
      <c r="I101" s="96" t="str">
        <f aca="false">IF(OR(G101="",H101=""),"",G101*H101)</f>
        <v/>
      </c>
      <c r="J101" s="99" t="str">
        <f aca="false">IF(I101="","",IF(I101&gt;=15,"Crítica",IF(I101&gt;=9,"Alta",IF(I101&gt;=4,"Média","Baixa"))))</f>
        <v/>
      </c>
      <c r="K101" s="105"/>
      <c r="L101" s="105"/>
      <c r="M101" s="106"/>
      <c r="N101" s="96" t="str">
        <f aca="false">IF(B101="","",COUNTIF('Mentoring - Soluções'!$C$5:$C$500,A101&amp;"*"))</f>
        <v/>
      </c>
      <c r="O101" s="107"/>
      <c r="P101" s="105"/>
      <c r="Q101" s="105"/>
      <c r="R101" s="100" t="str">
        <f aca="false">IF(B101="","",A101&amp;" · "&amp;B101)</f>
        <v/>
      </c>
    </row>
    <row r="102" customFormat="false" ht="15" hidden="false" customHeight="false" outlineLevel="0" collapsed="false">
      <c r="A102" s="101" t="s">
        <v>888</v>
      </c>
      <c r="B102" s="102"/>
      <c r="C102" s="102"/>
      <c r="D102" s="102"/>
      <c r="E102" s="103"/>
      <c r="F102" s="102"/>
      <c r="G102" s="103"/>
      <c r="H102" s="103"/>
      <c r="I102" s="96" t="str">
        <f aca="false">IF(OR(G102="",H102=""),"",G102*H102)</f>
        <v/>
      </c>
      <c r="J102" s="99" t="str">
        <f aca="false">IF(I102="","",IF(I102&gt;=15,"Crítica",IF(I102&gt;=9,"Alta",IF(I102&gt;=4,"Média","Baixa"))))</f>
        <v/>
      </c>
      <c r="K102" s="102"/>
      <c r="L102" s="102"/>
      <c r="M102" s="103"/>
      <c r="N102" s="96" t="str">
        <f aca="false">IF(B102="","",COUNTIF('Mentoring - Soluções'!$C$5:$C$500,A102&amp;"*"))</f>
        <v/>
      </c>
      <c r="O102" s="104"/>
      <c r="P102" s="102"/>
      <c r="Q102" s="102"/>
      <c r="R102" s="100" t="str">
        <f aca="false">IF(B102="","",A102&amp;" · "&amp;B102)</f>
        <v/>
      </c>
    </row>
    <row r="103" customFormat="false" ht="15" hidden="false" customHeight="false" outlineLevel="0" collapsed="false">
      <c r="A103" s="93" t="s">
        <v>889</v>
      </c>
      <c r="B103" s="105"/>
      <c r="C103" s="105"/>
      <c r="D103" s="105"/>
      <c r="E103" s="106"/>
      <c r="F103" s="105"/>
      <c r="G103" s="106"/>
      <c r="H103" s="106"/>
      <c r="I103" s="96" t="str">
        <f aca="false">IF(OR(G103="",H103=""),"",G103*H103)</f>
        <v/>
      </c>
      <c r="J103" s="99" t="str">
        <f aca="false">IF(I103="","",IF(I103&gt;=15,"Crítica",IF(I103&gt;=9,"Alta",IF(I103&gt;=4,"Média","Baixa"))))</f>
        <v/>
      </c>
      <c r="K103" s="105"/>
      <c r="L103" s="105"/>
      <c r="M103" s="106"/>
      <c r="N103" s="96" t="str">
        <f aca="false">IF(B103="","",COUNTIF('Mentoring - Soluções'!$C$5:$C$500,A103&amp;"*"))</f>
        <v/>
      </c>
      <c r="O103" s="107"/>
      <c r="P103" s="105"/>
      <c r="Q103" s="105"/>
      <c r="R103" s="100" t="str">
        <f aca="false">IF(B103="","",A103&amp;" · "&amp;B103)</f>
        <v/>
      </c>
    </row>
    <row r="104" customFormat="false" ht="15" hidden="false" customHeight="false" outlineLevel="0" collapsed="false">
      <c r="A104" s="101" t="s">
        <v>890</v>
      </c>
      <c r="B104" s="102"/>
      <c r="C104" s="102"/>
      <c r="D104" s="102"/>
      <c r="E104" s="103"/>
      <c r="F104" s="102"/>
      <c r="G104" s="103"/>
      <c r="H104" s="103"/>
      <c r="I104" s="96" t="str">
        <f aca="false">IF(OR(G104="",H104=""),"",G104*H104)</f>
        <v/>
      </c>
      <c r="J104" s="99" t="str">
        <f aca="false">IF(I104="","",IF(I104&gt;=15,"Crítica",IF(I104&gt;=9,"Alta",IF(I104&gt;=4,"Média","Baixa"))))</f>
        <v/>
      </c>
      <c r="K104" s="102"/>
      <c r="L104" s="102"/>
      <c r="M104" s="103"/>
      <c r="N104" s="96" t="str">
        <f aca="false">IF(B104="","",COUNTIF('Mentoring - Soluções'!$C$5:$C$500,A104&amp;"*"))</f>
        <v/>
      </c>
      <c r="O104" s="104"/>
      <c r="P104" s="102"/>
      <c r="Q104" s="102"/>
      <c r="R104" s="100" t="str">
        <f aca="false">IF(B104="","",A104&amp;" · "&amp;B104)</f>
        <v/>
      </c>
    </row>
  </sheetData>
  <autoFilter ref="A4:R104"/>
  <mergeCells count="4">
    <mergeCell ref="A3:F3"/>
    <mergeCell ref="G3:J3"/>
    <mergeCell ref="K3:N3"/>
    <mergeCell ref="O3:R3"/>
  </mergeCells>
  <conditionalFormatting sqref="A5:A500">
    <cfRule type="expression" priority="2" aboveAverage="0" equalAverage="0" bottom="0" percent="0" rank="0" text="" dxfId="13">
      <formula>$B5&lt;&gt;""</formula>
    </cfRule>
  </conditionalFormatting>
  <conditionalFormatting sqref="J5:J500">
    <cfRule type="expression" priority="3" aboveAverage="0" equalAverage="0" bottom="0" percent="0" rank="0" text="" dxfId="20">
      <formula>$J5="Crítica"</formula>
    </cfRule>
    <cfRule type="expression" priority="4" aboveAverage="0" equalAverage="0" bottom="0" percent="0" rank="0" text="" dxfId="27">
      <formula>$J5="Alta"</formula>
    </cfRule>
    <cfRule type="expression" priority="5" aboveAverage="0" equalAverage="0" bottom="0" percent="0" rank="0" text="" dxfId="28">
      <formula>$J5="Média"</formula>
    </cfRule>
    <cfRule type="expression" priority="6" aboveAverage="0" equalAverage="0" bottom="0" percent="0" rank="0" text="" dxfId="29">
      <formula>$J5="Baixa"</formula>
    </cfRule>
  </conditionalFormatting>
  <conditionalFormatting sqref="E5:E500">
    <cfRule type="expression" priority="7" aboveAverage="0" equalAverage="0" bottom="0" percent="0" rank="0" text="" dxfId="30">
      <formula>$E5="Ocorrendo hoje"</formula>
    </cfRule>
    <cfRule type="expression" priority="8" aboveAverage="0" equalAverage="0" bottom="0" percent="0" rank="0" text="" dxfId="31">
      <formula>$E5="Risco potencial"</formula>
    </cfRule>
  </conditionalFormatting>
  <conditionalFormatting sqref="M5:M500">
    <cfRule type="expression" priority="9" aboveAverage="0" equalAverage="0" bottom="0" percent="0" rank="0" text="" dxfId="14">
      <formula>$M5="Resolvido"</formula>
    </cfRule>
    <cfRule type="expression" priority="10" aboveAverage="0" equalAverage="0" bottom="0" percent="0" rank="0" text="" dxfId="15">
      <formula>$M5="Solução em teste"</formula>
    </cfRule>
    <cfRule type="expression" priority="11" aboveAverage="0" equalAverage="0" bottom="0" percent="0" rank="0" text="" dxfId="17">
      <formula>$M5="Buscando solução"</formula>
    </cfRule>
    <cfRule type="expression" priority="12" aboveAverage="0" equalAverage="0" bottom="0" percent="0" rank="0" text="" dxfId="18">
      <formula>$M5="Arquivado"</formula>
    </cfRule>
  </conditionalFormatting>
  <conditionalFormatting sqref="N5:N500">
    <cfRule type="expression" priority="13" aboveAverage="0" equalAverage="0" bottom="0" percent="0" rank="0" text="" dxfId="32">
      <formula>AND($B5&lt;&gt;"",$N5=0)</formula>
    </cfRule>
  </conditionalFormatting>
  <dataValidations count="7">
    <dataValidation allowBlank="true" error="Digite uma data válida no formato dd/mm/aaaa." errorStyle="stop" errorTitle="Data inválida" operator="greaterThan" showDropDown="false" showErrorMessage="true" showInputMessage="false" sqref="O5:O500" type="date">
      <formula1>36526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D5:D500" type="list">
      <formula1>lst_Categoria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lst_SitProblema</formula1>
      <formula2>0</formula2>
    </dataValidation>
    <dataValidation allowBlank="true" error="Escolha uma opção da lista. As opções podem ser editadas na aba Listas." errorStyle="stop" errorTitle="Valor fora da lista" operator="between" prompt="1 = muito baixo · 3 = médio · 5 = muito alto (afeta o resultado do projeto/CEMP)." promptTitle="Impacto" showDropDown="false" showErrorMessage="true" showInputMessage="true" sqref="G5:G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prompt="1 = raro · 3 = acontece às vezes · 5 = acontece sempre / quase certo." promptTitle="Probabilidade" showDropDown="false" showErrorMessage="true" showInputMessage="true" sqref="H5:H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lst_Diretoria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M5:M500" type="list">
      <formula1>lst_StatusProblema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9C9E"/>
    <pageSetUpPr fitToPage="true"/>
  </sheetPr>
  <dimension ref="A1:U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19"/>
    <col collapsed="false" customWidth="true" hidden="false" outlineLevel="0" max="7" min="7" style="0" width="17"/>
    <col collapsed="false" customWidth="true" hidden="false" outlineLevel="0" max="8" min="8" style="0" width="56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17"/>
    <col collapsed="false" customWidth="true" hidden="false" outlineLevel="0" max="14" min="14" style="0" width="40"/>
    <col collapsed="false" customWidth="true" hidden="false" outlineLevel="0" max="15" min="15" style="0" width="28"/>
    <col collapsed="false" customWidth="true" hidden="false" outlineLevel="0" max="16" min="16" style="0" width="16"/>
    <col collapsed="false" customWidth="true" hidden="false" outlineLevel="0" max="17" min="17" style="0" width="17"/>
    <col collapsed="false" customWidth="true" hidden="false" outlineLevel="0" max="18" min="18" style="0" width="12"/>
    <col collapsed="false" customWidth="true" hidden="false" outlineLevel="0" max="19" min="19" style="0" width="34"/>
    <col collapsed="false" customWidth="true" hidden="false" outlineLevel="0" max="20" min="20" style="0" width="12"/>
    <col collapsed="false" customWidth="true" hidden="false" outlineLevel="0" max="21" min="21" style="0" width="16"/>
  </cols>
  <sheetData>
    <row r="1" customFormat="false" ht="31.5" hidden="false" customHeight="true" outlineLevel="0" collapsed="false">
      <c r="A1" s="83" t="s">
        <v>891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9.5" hidden="false" customHeight="true" outlineLevel="0" collapsed="false">
      <c r="A2" s="119" t="s">
        <v>70</v>
      </c>
      <c r="B2" s="120" t="str">
        <f aca="false">"Soluções encontradas em outros projetos/empresas para: Mentoring   ·   "&amp;COUNTA(B5:B500)&amp;" registro(s)"</f>
        <v>Soluções encontradas em outros projetos/empresas para: Mentoring   ·   1 registro(s)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</row>
    <row r="3" customFormat="false" ht="16.5" hidden="false" customHeight="true" outlineLevel="0" collapsed="false">
      <c r="A3" s="87" t="s">
        <v>649</v>
      </c>
      <c r="B3" s="87"/>
      <c r="C3" s="87"/>
      <c r="D3" s="87"/>
      <c r="E3" s="88" t="s">
        <v>650</v>
      </c>
      <c r="F3" s="88"/>
      <c r="G3" s="88"/>
      <c r="H3" s="89" t="s">
        <v>651</v>
      </c>
      <c r="I3" s="89"/>
      <c r="J3" s="89"/>
      <c r="K3" s="90" t="s">
        <v>652</v>
      </c>
      <c r="L3" s="90"/>
      <c r="M3" s="90"/>
      <c r="N3" s="113" t="s">
        <v>653</v>
      </c>
      <c r="O3" s="113"/>
      <c r="P3" s="114" t="s">
        <v>654</v>
      </c>
      <c r="Q3" s="114"/>
      <c r="R3" s="114"/>
      <c r="S3" s="115" t="s">
        <v>523</v>
      </c>
      <c r="T3" s="115"/>
      <c r="U3" s="115"/>
    </row>
    <row r="4" customFormat="false" ht="42" hidden="false" customHeight="true" outlineLevel="0" collapsed="false">
      <c r="A4" s="122" t="s">
        <v>118</v>
      </c>
      <c r="B4" s="122" t="s">
        <v>655</v>
      </c>
      <c r="C4" s="122" t="s">
        <v>656</v>
      </c>
      <c r="D4" s="122" t="s">
        <v>657</v>
      </c>
      <c r="E4" s="122" t="s">
        <v>658</v>
      </c>
      <c r="F4" s="92" t="s">
        <v>659</v>
      </c>
      <c r="G4" s="122" t="s">
        <v>660</v>
      </c>
      <c r="H4" s="122" t="s">
        <v>661</v>
      </c>
      <c r="I4" s="122" t="s">
        <v>662</v>
      </c>
      <c r="J4" s="122" t="s">
        <v>663</v>
      </c>
      <c r="K4" s="122" t="s">
        <v>664</v>
      </c>
      <c r="L4" s="122" t="s">
        <v>665</v>
      </c>
      <c r="M4" s="92" t="s">
        <v>666</v>
      </c>
      <c r="N4" s="122" t="s">
        <v>667</v>
      </c>
      <c r="O4" s="122" t="s">
        <v>668</v>
      </c>
      <c r="P4" s="122" t="s">
        <v>669</v>
      </c>
      <c r="Q4" s="122" t="s">
        <v>670</v>
      </c>
      <c r="R4" s="122" t="s">
        <v>671</v>
      </c>
      <c r="S4" s="122" t="s">
        <v>672</v>
      </c>
      <c r="T4" s="122" t="s">
        <v>536</v>
      </c>
      <c r="U4" s="122" t="s">
        <v>537</v>
      </c>
    </row>
    <row r="5" customFormat="false" ht="46.25" hidden="false" customHeight="false" outlineLevel="0" collapsed="false">
      <c r="A5" s="93" t="s">
        <v>892</v>
      </c>
      <c r="B5" s="94" t="s">
        <v>893</v>
      </c>
      <c r="C5" s="94" t="s">
        <v>894</v>
      </c>
      <c r="D5" s="94" t="s">
        <v>895</v>
      </c>
      <c r="E5" s="94" t="s">
        <v>313</v>
      </c>
      <c r="F5" s="99" t="str">
        <f aca="false">IF(E5="","",IFERROR(INDEX('Fontes e Parcerias'!$C$5:$C$500,MATCH(IFERROR(LEFT(E5,FIND(" · ",E5)-1),E5),'Fontes e Parcerias'!$A$5:$A$500,0)),"Fonte não encontrada"))</f>
        <v>Empresa Júnior</v>
      </c>
      <c r="G5" s="95" t="s">
        <v>677</v>
      </c>
      <c r="H5" s="94" t="s">
        <v>896</v>
      </c>
      <c r="I5" s="94" t="s">
        <v>897</v>
      </c>
      <c r="J5" s="116" t="n">
        <v>0</v>
      </c>
      <c r="K5" s="95" t="s">
        <v>680</v>
      </c>
      <c r="L5" s="95" t="s">
        <v>898</v>
      </c>
      <c r="M5" s="99" t="str">
        <f aca="false">IF(OR(K5="",L5=""),"",IF((IF(L5="Alto",3,IF(L5="Médio",2,1))-IF(K5="Alto",3,IF(K5="Médio",2,1)))=2,"⚡ Quick win",IF((IF(L5="Alto",3,IF(L5="Médio",2,1))-IF(K5="Alto",3,IF(K5="Médio",2,1)))=1,"🚀 Alto retorno",IF(AND(L5="Alto",K5="Alto"),"🎯 Estratégica",IF((IF(L5="Alto",3,IF(L5="Médio",2,1))-IF(K5="Alto",3,IF(K5="Médio",2,1)))=0,"⚖ Equilibrada","⏳ Baixo retorno")))))</f>
        <v>🚀 Alto retorno</v>
      </c>
      <c r="N5" s="94" t="s">
        <v>899</v>
      </c>
      <c r="O5" s="94" t="s">
        <v>900</v>
      </c>
      <c r="P5" s="95" t="s">
        <v>99</v>
      </c>
      <c r="Q5" s="94" t="s">
        <v>684</v>
      </c>
      <c r="R5" s="98" t="n">
        <v>46338</v>
      </c>
      <c r="S5" s="94" t="s">
        <v>548</v>
      </c>
      <c r="T5" s="98" t="n">
        <v>46293</v>
      </c>
      <c r="U5" s="94" t="s">
        <v>547</v>
      </c>
    </row>
    <row r="6" customFormat="false" ht="15" hidden="false" customHeight="false" outlineLevel="0" collapsed="false">
      <c r="A6" s="101" t="s">
        <v>901</v>
      </c>
      <c r="B6" s="102"/>
      <c r="C6" s="102"/>
      <c r="D6" s="102"/>
      <c r="E6" s="102"/>
      <c r="F6" s="99" t="str">
        <f aca="false">IF(E6="","",IFERROR(INDEX('Fontes e Parcerias'!$C$5:$C$500,MATCH(IFERROR(LEFT(E6,FIND(" · ",E6)-1),E6),'Fontes e Parcerias'!$A$5:$A$500,0)),"Fonte não encontrada"))</f>
        <v/>
      </c>
      <c r="G6" s="103"/>
      <c r="H6" s="102"/>
      <c r="I6" s="102"/>
      <c r="J6" s="117"/>
      <c r="K6" s="103"/>
      <c r="L6" s="103"/>
      <c r="M6" s="99" t="str">
        <f aca="false">IF(OR(K6="",L6=""),"",IF((IF(L6="Alto",3,IF(L6="Médio",2,1))-IF(K6="Alto",3,IF(K6="Médio",2,1)))=2,"⚡ Quick win",IF((IF(L6="Alto",3,IF(L6="Médio",2,1))-IF(K6="Alto",3,IF(K6="Médio",2,1)))=1,"🚀 Alto retorno",IF(AND(L6="Alto",K6="Alto"),"🎯 Estratégica",IF((IF(L6="Alto",3,IF(L6="Médio",2,1))-IF(K6="Alto",3,IF(K6="Médio",2,1)))=0,"⚖ Equilibrada","⏳ Baixo retorno")))))</f>
        <v/>
      </c>
      <c r="N6" s="102"/>
      <c r="O6" s="102"/>
      <c r="P6" s="103"/>
      <c r="Q6" s="102"/>
      <c r="R6" s="104"/>
      <c r="S6" s="102"/>
      <c r="T6" s="104"/>
      <c r="U6" s="102"/>
    </row>
    <row r="7" customFormat="false" ht="15" hidden="false" customHeight="false" outlineLevel="0" collapsed="false">
      <c r="A7" s="93" t="s">
        <v>902</v>
      </c>
      <c r="B7" s="105"/>
      <c r="C7" s="105"/>
      <c r="D7" s="105"/>
      <c r="E7" s="105"/>
      <c r="F7" s="99" t="str">
        <f aca="false">IF(E7="","",IFERROR(INDEX('Fontes e Parcerias'!$C$5:$C$500,MATCH(IFERROR(LEFT(E7,FIND(" · ",E7)-1),E7),'Fontes e Parcerias'!$A$5:$A$500,0)),"Fonte não encontrada"))</f>
        <v/>
      </c>
      <c r="G7" s="106"/>
      <c r="H7" s="105"/>
      <c r="I7" s="105"/>
      <c r="J7" s="118"/>
      <c r="K7" s="106"/>
      <c r="L7" s="106"/>
      <c r="M7" s="99" t="str">
        <f aca="false">IF(OR(K7="",L7=""),"",IF((IF(L7="Alto",3,IF(L7="Médio",2,1))-IF(K7="Alto",3,IF(K7="Médio",2,1)))=2,"⚡ Quick win",IF((IF(L7="Alto",3,IF(L7="Médio",2,1))-IF(K7="Alto",3,IF(K7="Médio",2,1)))=1,"🚀 Alto retorno",IF(AND(L7="Alto",K7="Alto"),"🎯 Estratégica",IF((IF(L7="Alto",3,IF(L7="Médio",2,1))-IF(K7="Alto",3,IF(K7="Médio",2,1)))=0,"⚖ Equilibrada","⏳ Baixo retorno")))))</f>
        <v/>
      </c>
      <c r="N7" s="105"/>
      <c r="O7" s="105"/>
      <c r="P7" s="106"/>
      <c r="Q7" s="105"/>
      <c r="R7" s="107"/>
      <c r="S7" s="105"/>
      <c r="T7" s="107"/>
      <c r="U7" s="105"/>
    </row>
    <row r="8" customFormat="false" ht="15" hidden="false" customHeight="false" outlineLevel="0" collapsed="false">
      <c r="A8" s="101" t="s">
        <v>903</v>
      </c>
      <c r="B8" s="102"/>
      <c r="C8" s="102"/>
      <c r="D8" s="102"/>
      <c r="E8" s="102"/>
      <c r="F8" s="99" t="str">
        <f aca="false">IF(E8="","",IFERROR(INDEX('Fontes e Parcerias'!$C$5:$C$500,MATCH(IFERROR(LEFT(E8,FIND(" · ",E8)-1),E8),'Fontes e Parcerias'!$A$5:$A$500,0)),"Fonte não encontrada"))</f>
        <v/>
      </c>
      <c r="G8" s="103"/>
      <c r="H8" s="102"/>
      <c r="I8" s="102"/>
      <c r="J8" s="117"/>
      <c r="K8" s="103"/>
      <c r="L8" s="103"/>
      <c r="M8" s="99" t="str">
        <f aca="false">IF(OR(K8="",L8=""),"",IF((IF(L8="Alto",3,IF(L8="Médio",2,1))-IF(K8="Alto",3,IF(K8="Médio",2,1)))=2,"⚡ Quick win",IF((IF(L8="Alto",3,IF(L8="Médio",2,1))-IF(K8="Alto",3,IF(K8="Médio",2,1)))=1,"🚀 Alto retorno",IF(AND(L8="Alto",K8="Alto"),"🎯 Estratégica",IF((IF(L8="Alto",3,IF(L8="Médio",2,1))-IF(K8="Alto",3,IF(K8="Médio",2,1)))=0,"⚖ Equilibrada","⏳ Baixo retorno")))))</f>
        <v/>
      </c>
      <c r="N8" s="102"/>
      <c r="O8" s="102"/>
      <c r="P8" s="103"/>
      <c r="Q8" s="102"/>
      <c r="R8" s="104"/>
      <c r="S8" s="102"/>
      <c r="T8" s="104"/>
      <c r="U8" s="102"/>
    </row>
    <row r="9" customFormat="false" ht="15" hidden="false" customHeight="false" outlineLevel="0" collapsed="false">
      <c r="A9" s="93" t="s">
        <v>904</v>
      </c>
      <c r="B9" s="105"/>
      <c r="C9" s="105"/>
      <c r="D9" s="105"/>
      <c r="E9" s="105"/>
      <c r="F9" s="99" t="str">
        <f aca="false">IF(E9="","",IFERROR(INDEX('Fontes e Parcerias'!$C$5:$C$500,MATCH(IFERROR(LEFT(E9,FIND(" · ",E9)-1),E9),'Fontes e Parcerias'!$A$5:$A$500,0)),"Fonte não encontrada"))</f>
        <v/>
      </c>
      <c r="G9" s="106"/>
      <c r="H9" s="105"/>
      <c r="I9" s="105"/>
      <c r="J9" s="118"/>
      <c r="K9" s="106"/>
      <c r="L9" s="106"/>
      <c r="M9" s="99" t="str">
        <f aca="false">IF(OR(K9="",L9=""),"",IF((IF(L9="Alto",3,IF(L9="Médio",2,1))-IF(K9="Alto",3,IF(K9="Médio",2,1)))=2,"⚡ Quick win",IF((IF(L9="Alto",3,IF(L9="Médio",2,1))-IF(K9="Alto",3,IF(K9="Médio",2,1)))=1,"🚀 Alto retorno",IF(AND(L9="Alto",K9="Alto"),"🎯 Estratégica",IF((IF(L9="Alto",3,IF(L9="Médio",2,1))-IF(K9="Alto",3,IF(K9="Médio",2,1)))=0,"⚖ Equilibrada","⏳ Baixo retorno")))))</f>
        <v/>
      </c>
      <c r="N9" s="105"/>
      <c r="O9" s="105"/>
      <c r="P9" s="106"/>
      <c r="Q9" s="105"/>
      <c r="R9" s="107"/>
      <c r="S9" s="105"/>
      <c r="T9" s="107"/>
      <c r="U9" s="105"/>
    </row>
    <row r="10" customFormat="false" ht="15" hidden="false" customHeight="false" outlineLevel="0" collapsed="false">
      <c r="A10" s="101" t="s">
        <v>905</v>
      </c>
      <c r="B10" s="102"/>
      <c r="C10" s="102"/>
      <c r="D10" s="102"/>
      <c r="E10" s="102"/>
      <c r="F10" s="99" t="str">
        <f aca="false">IF(E10="","",IFERROR(INDEX('Fontes e Parcerias'!$C$5:$C$500,MATCH(IFERROR(LEFT(E10,FIND(" · ",E10)-1),E10),'Fontes e Parcerias'!$A$5:$A$500,0)),"Fonte não encontrada"))</f>
        <v/>
      </c>
      <c r="G10" s="103"/>
      <c r="H10" s="102"/>
      <c r="I10" s="102"/>
      <c r="J10" s="117"/>
      <c r="K10" s="103"/>
      <c r="L10" s="103"/>
      <c r="M10" s="99" t="str">
        <f aca="false">IF(OR(K10="",L10=""),"",IF((IF(L10="Alto",3,IF(L10="Médio",2,1))-IF(K10="Alto",3,IF(K10="Médio",2,1)))=2,"⚡ Quick win",IF((IF(L10="Alto",3,IF(L10="Médio",2,1))-IF(K10="Alto",3,IF(K10="Médio",2,1)))=1,"🚀 Alto retorno",IF(AND(L10="Alto",K10="Alto"),"🎯 Estratégica",IF((IF(L10="Alto",3,IF(L10="Médio",2,1))-IF(K10="Alto",3,IF(K10="Médio",2,1)))=0,"⚖ Equilibrada","⏳ Baixo retorno")))))</f>
        <v/>
      </c>
      <c r="N10" s="102"/>
      <c r="O10" s="102"/>
      <c r="P10" s="103"/>
      <c r="Q10" s="102"/>
      <c r="R10" s="104"/>
      <c r="S10" s="102"/>
      <c r="T10" s="104"/>
      <c r="U10" s="102"/>
    </row>
    <row r="11" customFormat="false" ht="15" hidden="false" customHeight="false" outlineLevel="0" collapsed="false">
      <c r="A11" s="93" t="s">
        <v>906</v>
      </c>
      <c r="B11" s="105"/>
      <c r="C11" s="105"/>
      <c r="D11" s="105"/>
      <c r="E11" s="105"/>
      <c r="F11" s="99" t="str">
        <f aca="false">IF(E11="","",IFERROR(INDEX('Fontes e Parcerias'!$C$5:$C$500,MATCH(IFERROR(LEFT(E11,FIND(" · ",E11)-1),E11),'Fontes e Parcerias'!$A$5:$A$500,0)),"Fonte não encontrada"))</f>
        <v/>
      </c>
      <c r="G11" s="106"/>
      <c r="H11" s="105"/>
      <c r="I11" s="105"/>
      <c r="J11" s="118"/>
      <c r="K11" s="106"/>
      <c r="L11" s="106"/>
      <c r="M11" s="99" t="str">
        <f aca="false">IF(OR(K11="",L11=""),"",IF((IF(L11="Alto",3,IF(L11="Médio",2,1))-IF(K11="Alto",3,IF(K11="Médio",2,1)))=2,"⚡ Quick win",IF((IF(L11="Alto",3,IF(L11="Médio",2,1))-IF(K11="Alto",3,IF(K11="Médio",2,1)))=1,"🚀 Alto retorno",IF(AND(L11="Alto",K11="Alto"),"🎯 Estratégica",IF((IF(L11="Alto",3,IF(L11="Médio",2,1))-IF(K11="Alto",3,IF(K11="Médio",2,1)))=0,"⚖ Equilibrada","⏳ Baixo retorno")))))</f>
        <v/>
      </c>
      <c r="N11" s="105"/>
      <c r="O11" s="105"/>
      <c r="P11" s="106"/>
      <c r="Q11" s="105"/>
      <c r="R11" s="107"/>
      <c r="S11" s="105"/>
      <c r="T11" s="107"/>
      <c r="U11" s="105"/>
    </row>
    <row r="12" customFormat="false" ht="15" hidden="false" customHeight="false" outlineLevel="0" collapsed="false">
      <c r="A12" s="101" t="s">
        <v>907</v>
      </c>
      <c r="B12" s="102"/>
      <c r="C12" s="102"/>
      <c r="D12" s="102"/>
      <c r="E12" s="102"/>
      <c r="F12" s="99" t="str">
        <f aca="false">IF(E12="","",IFERROR(INDEX('Fontes e Parcerias'!$C$5:$C$500,MATCH(IFERROR(LEFT(E12,FIND(" · ",E12)-1),E12),'Fontes e Parcerias'!$A$5:$A$500,0)),"Fonte não encontrada"))</f>
        <v/>
      </c>
      <c r="G12" s="103"/>
      <c r="H12" s="102"/>
      <c r="I12" s="102"/>
      <c r="J12" s="117"/>
      <c r="K12" s="103"/>
      <c r="L12" s="103"/>
      <c r="M12" s="99" t="str">
        <f aca="false">IF(OR(K12="",L12=""),"",IF((IF(L12="Alto",3,IF(L12="Médio",2,1))-IF(K12="Alto",3,IF(K12="Médio",2,1)))=2,"⚡ Quick win",IF((IF(L12="Alto",3,IF(L12="Médio",2,1))-IF(K12="Alto",3,IF(K12="Médio",2,1)))=1,"🚀 Alto retorno",IF(AND(L12="Alto",K12="Alto"),"🎯 Estratégica",IF((IF(L12="Alto",3,IF(L12="Médio",2,1))-IF(K12="Alto",3,IF(K12="Médio",2,1)))=0,"⚖ Equilibrada","⏳ Baixo retorno")))))</f>
        <v/>
      </c>
      <c r="N12" s="102"/>
      <c r="O12" s="102"/>
      <c r="P12" s="103"/>
      <c r="Q12" s="102"/>
      <c r="R12" s="104"/>
      <c r="S12" s="102"/>
      <c r="T12" s="104"/>
      <c r="U12" s="102"/>
    </row>
    <row r="13" customFormat="false" ht="15" hidden="false" customHeight="false" outlineLevel="0" collapsed="false">
      <c r="A13" s="93" t="s">
        <v>908</v>
      </c>
      <c r="B13" s="105"/>
      <c r="C13" s="105"/>
      <c r="D13" s="105"/>
      <c r="E13" s="105"/>
      <c r="F13" s="99" t="str">
        <f aca="false">IF(E13="","",IFERROR(INDEX('Fontes e Parcerias'!$C$5:$C$500,MATCH(IFERROR(LEFT(E13,FIND(" · ",E13)-1),E13),'Fontes e Parcerias'!$A$5:$A$500,0)),"Fonte não encontrada"))</f>
        <v/>
      </c>
      <c r="G13" s="106"/>
      <c r="H13" s="105"/>
      <c r="I13" s="105"/>
      <c r="J13" s="118"/>
      <c r="K13" s="106"/>
      <c r="L13" s="106"/>
      <c r="M13" s="99" t="str">
        <f aca="false">IF(OR(K13="",L13=""),"",IF((IF(L13="Alto",3,IF(L13="Médio",2,1))-IF(K13="Alto",3,IF(K13="Médio",2,1)))=2,"⚡ Quick win",IF((IF(L13="Alto",3,IF(L13="Médio",2,1))-IF(K13="Alto",3,IF(K13="Médio",2,1)))=1,"🚀 Alto retorno",IF(AND(L13="Alto",K13="Alto"),"🎯 Estratégica",IF((IF(L13="Alto",3,IF(L13="Médio",2,1))-IF(K13="Alto",3,IF(K13="Médio",2,1)))=0,"⚖ Equilibrada","⏳ Baixo retorno")))))</f>
        <v/>
      </c>
      <c r="N13" s="105"/>
      <c r="O13" s="105"/>
      <c r="P13" s="106"/>
      <c r="Q13" s="105"/>
      <c r="R13" s="107"/>
      <c r="S13" s="105"/>
      <c r="T13" s="107"/>
      <c r="U13" s="105"/>
    </row>
    <row r="14" customFormat="false" ht="15" hidden="false" customHeight="false" outlineLevel="0" collapsed="false">
      <c r="A14" s="101" t="s">
        <v>909</v>
      </c>
      <c r="B14" s="102"/>
      <c r="C14" s="102"/>
      <c r="D14" s="102"/>
      <c r="E14" s="102"/>
      <c r="F14" s="99" t="str">
        <f aca="false">IF(E14="","",IFERROR(INDEX('Fontes e Parcerias'!$C$5:$C$500,MATCH(IFERROR(LEFT(E14,FIND(" · ",E14)-1),E14),'Fontes e Parcerias'!$A$5:$A$500,0)),"Fonte não encontrada"))</f>
        <v/>
      </c>
      <c r="G14" s="103"/>
      <c r="H14" s="102"/>
      <c r="I14" s="102"/>
      <c r="J14" s="117"/>
      <c r="K14" s="103"/>
      <c r="L14" s="103"/>
      <c r="M14" s="99" t="str">
        <f aca="false">IF(OR(K14="",L14=""),"",IF((IF(L14="Alto",3,IF(L14="Médio",2,1))-IF(K14="Alto",3,IF(K14="Médio",2,1)))=2,"⚡ Quick win",IF((IF(L14="Alto",3,IF(L14="Médio",2,1))-IF(K14="Alto",3,IF(K14="Médio",2,1)))=1,"🚀 Alto retorno",IF(AND(L14="Alto",K14="Alto"),"🎯 Estratégica",IF((IF(L14="Alto",3,IF(L14="Médio",2,1))-IF(K14="Alto",3,IF(K14="Médio",2,1)))=0,"⚖ Equilibrada","⏳ Baixo retorno")))))</f>
        <v/>
      </c>
      <c r="N14" s="102"/>
      <c r="O14" s="102"/>
      <c r="P14" s="103"/>
      <c r="Q14" s="102"/>
      <c r="R14" s="104"/>
      <c r="S14" s="102"/>
      <c r="T14" s="104"/>
      <c r="U14" s="102"/>
    </row>
    <row r="15" customFormat="false" ht="15" hidden="false" customHeight="false" outlineLevel="0" collapsed="false">
      <c r="A15" s="93" t="s">
        <v>910</v>
      </c>
      <c r="B15" s="105"/>
      <c r="C15" s="105"/>
      <c r="D15" s="105"/>
      <c r="E15" s="105"/>
      <c r="F15" s="99" t="str">
        <f aca="false">IF(E15="","",IFERROR(INDEX('Fontes e Parcerias'!$C$5:$C$500,MATCH(IFERROR(LEFT(E15,FIND(" · ",E15)-1),E15),'Fontes e Parcerias'!$A$5:$A$500,0)),"Fonte não encontrada"))</f>
        <v/>
      </c>
      <c r="G15" s="106"/>
      <c r="H15" s="105"/>
      <c r="I15" s="105"/>
      <c r="J15" s="118"/>
      <c r="K15" s="106"/>
      <c r="L15" s="106"/>
      <c r="M15" s="99" t="str">
        <f aca="false">IF(OR(K15="",L15=""),"",IF((IF(L15="Alto",3,IF(L15="Médio",2,1))-IF(K15="Alto",3,IF(K15="Médio",2,1)))=2,"⚡ Quick win",IF((IF(L15="Alto",3,IF(L15="Médio",2,1))-IF(K15="Alto",3,IF(K15="Médio",2,1)))=1,"🚀 Alto retorno",IF(AND(L15="Alto",K15="Alto"),"🎯 Estratégica",IF((IF(L15="Alto",3,IF(L15="Médio",2,1))-IF(K15="Alto",3,IF(K15="Médio",2,1)))=0,"⚖ Equilibrada","⏳ Baixo retorno")))))</f>
        <v/>
      </c>
      <c r="N15" s="105"/>
      <c r="O15" s="105"/>
      <c r="P15" s="106"/>
      <c r="Q15" s="105"/>
      <c r="R15" s="107"/>
      <c r="S15" s="105"/>
      <c r="T15" s="107"/>
      <c r="U15" s="105"/>
    </row>
    <row r="16" customFormat="false" ht="15" hidden="false" customHeight="false" outlineLevel="0" collapsed="false">
      <c r="A16" s="101" t="s">
        <v>911</v>
      </c>
      <c r="B16" s="102"/>
      <c r="C16" s="102"/>
      <c r="D16" s="102"/>
      <c r="E16" s="102"/>
      <c r="F16" s="99" t="str">
        <f aca="false">IF(E16="","",IFERROR(INDEX('Fontes e Parcerias'!$C$5:$C$500,MATCH(IFERROR(LEFT(E16,FIND(" · ",E16)-1),E16),'Fontes e Parcerias'!$A$5:$A$500,0)),"Fonte não encontrada"))</f>
        <v/>
      </c>
      <c r="G16" s="103"/>
      <c r="H16" s="102"/>
      <c r="I16" s="102"/>
      <c r="J16" s="117"/>
      <c r="K16" s="103"/>
      <c r="L16" s="103"/>
      <c r="M16" s="99" t="str">
        <f aca="false">IF(OR(K16="",L16=""),"",IF((IF(L16="Alto",3,IF(L16="Médio",2,1))-IF(K16="Alto",3,IF(K16="Médio",2,1)))=2,"⚡ Quick win",IF((IF(L16="Alto",3,IF(L16="Médio",2,1))-IF(K16="Alto",3,IF(K16="Médio",2,1)))=1,"🚀 Alto retorno",IF(AND(L16="Alto",K16="Alto"),"🎯 Estratégica",IF((IF(L16="Alto",3,IF(L16="Médio",2,1))-IF(K16="Alto",3,IF(K16="Médio",2,1)))=0,"⚖ Equilibrada","⏳ Baixo retorno")))))</f>
        <v/>
      </c>
      <c r="N16" s="102"/>
      <c r="O16" s="102"/>
      <c r="P16" s="103"/>
      <c r="Q16" s="102"/>
      <c r="R16" s="104"/>
      <c r="S16" s="102"/>
      <c r="T16" s="104"/>
      <c r="U16" s="102"/>
    </row>
    <row r="17" customFormat="false" ht="15" hidden="false" customHeight="false" outlineLevel="0" collapsed="false">
      <c r="A17" s="93" t="s">
        <v>912</v>
      </c>
      <c r="B17" s="105"/>
      <c r="C17" s="105"/>
      <c r="D17" s="105"/>
      <c r="E17" s="105"/>
      <c r="F17" s="99" t="str">
        <f aca="false">IF(E17="","",IFERROR(INDEX('Fontes e Parcerias'!$C$5:$C$500,MATCH(IFERROR(LEFT(E17,FIND(" · ",E17)-1),E17),'Fontes e Parcerias'!$A$5:$A$500,0)),"Fonte não encontrada"))</f>
        <v/>
      </c>
      <c r="G17" s="106"/>
      <c r="H17" s="105"/>
      <c r="I17" s="105"/>
      <c r="J17" s="118"/>
      <c r="K17" s="106"/>
      <c r="L17" s="106"/>
      <c r="M17" s="99" t="str">
        <f aca="false">IF(OR(K17="",L17=""),"",IF((IF(L17="Alto",3,IF(L17="Médio",2,1))-IF(K17="Alto",3,IF(K17="Médio",2,1)))=2,"⚡ Quick win",IF((IF(L17="Alto",3,IF(L17="Médio",2,1))-IF(K17="Alto",3,IF(K17="Médio",2,1)))=1,"🚀 Alto retorno",IF(AND(L17="Alto",K17="Alto"),"🎯 Estratégica",IF((IF(L17="Alto",3,IF(L17="Médio",2,1))-IF(K17="Alto",3,IF(K17="Médio",2,1)))=0,"⚖ Equilibrada","⏳ Baixo retorno")))))</f>
        <v/>
      </c>
      <c r="N17" s="105"/>
      <c r="O17" s="105"/>
      <c r="P17" s="106"/>
      <c r="Q17" s="105"/>
      <c r="R17" s="107"/>
      <c r="S17" s="105"/>
      <c r="T17" s="107"/>
      <c r="U17" s="105"/>
    </row>
    <row r="18" customFormat="false" ht="15" hidden="false" customHeight="false" outlineLevel="0" collapsed="false">
      <c r="A18" s="101" t="s">
        <v>913</v>
      </c>
      <c r="B18" s="102"/>
      <c r="C18" s="102"/>
      <c r="D18" s="102"/>
      <c r="E18" s="102"/>
      <c r="F18" s="99" t="str">
        <f aca="false">IF(E18="","",IFERROR(INDEX('Fontes e Parcerias'!$C$5:$C$500,MATCH(IFERROR(LEFT(E18,FIND(" · ",E18)-1),E18),'Fontes e Parcerias'!$A$5:$A$500,0)),"Fonte não encontrada"))</f>
        <v/>
      </c>
      <c r="G18" s="103"/>
      <c r="H18" s="102"/>
      <c r="I18" s="102"/>
      <c r="J18" s="117"/>
      <c r="K18" s="103"/>
      <c r="L18" s="103"/>
      <c r="M18" s="99" t="str">
        <f aca="false">IF(OR(K18="",L18=""),"",IF((IF(L18="Alto",3,IF(L18="Médio",2,1))-IF(K18="Alto",3,IF(K18="Médio",2,1)))=2,"⚡ Quick win",IF((IF(L18="Alto",3,IF(L18="Médio",2,1))-IF(K18="Alto",3,IF(K18="Médio",2,1)))=1,"🚀 Alto retorno",IF(AND(L18="Alto",K18="Alto"),"🎯 Estratégica",IF((IF(L18="Alto",3,IF(L18="Médio",2,1))-IF(K18="Alto",3,IF(K18="Médio",2,1)))=0,"⚖ Equilibrada","⏳ Baixo retorno")))))</f>
        <v/>
      </c>
      <c r="N18" s="102"/>
      <c r="O18" s="102"/>
      <c r="P18" s="103"/>
      <c r="Q18" s="102"/>
      <c r="R18" s="104"/>
      <c r="S18" s="102"/>
      <c r="T18" s="104"/>
      <c r="U18" s="102"/>
    </row>
    <row r="19" customFormat="false" ht="15" hidden="false" customHeight="false" outlineLevel="0" collapsed="false">
      <c r="A19" s="93" t="s">
        <v>914</v>
      </c>
      <c r="B19" s="105"/>
      <c r="C19" s="105"/>
      <c r="D19" s="105"/>
      <c r="E19" s="105"/>
      <c r="F19" s="99" t="str">
        <f aca="false">IF(E19="","",IFERROR(INDEX('Fontes e Parcerias'!$C$5:$C$500,MATCH(IFERROR(LEFT(E19,FIND(" · ",E19)-1),E19),'Fontes e Parcerias'!$A$5:$A$500,0)),"Fonte não encontrada"))</f>
        <v/>
      </c>
      <c r="G19" s="106"/>
      <c r="H19" s="105"/>
      <c r="I19" s="105"/>
      <c r="J19" s="118"/>
      <c r="K19" s="106"/>
      <c r="L19" s="106"/>
      <c r="M19" s="99" t="str">
        <f aca="false">IF(OR(K19="",L19=""),"",IF((IF(L19="Alto",3,IF(L19="Médio",2,1))-IF(K19="Alto",3,IF(K19="Médio",2,1)))=2,"⚡ Quick win",IF((IF(L19="Alto",3,IF(L19="Médio",2,1))-IF(K19="Alto",3,IF(K19="Médio",2,1)))=1,"🚀 Alto retorno",IF(AND(L19="Alto",K19="Alto"),"🎯 Estratégica",IF((IF(L19="Alto",3,IF(L19="Médio",2,1))-IF(K19="Alto",3,IF(K19="Médio",2,1)))=0,"⚖ Equilibrada","⏳ Baixo retorno")))))</f>
        <v/>
      </c>
      <c r="N19" s="105"/>
      <c r="O19" s="105"/>
      <c r="P19" s="106"/>
      <c r="Q19" s="105"/>
      <c r="R19" s="107"/>
      <c r="S19" s="105"/>
      <c r="T19" s="107"/>
      <c r="U19" s="105"/>
    </row>
    <row r="20" customFormat="false" ht="15" hidden="false" customHeight="false" outlineLevel="0" collapsed="false">
      <c r="A20" s="101" t="s">
        <v>915</v>
      </c>
      <c r="B20" s="102"/>
      <c r="C20" s="102"/>
      <c r="D20" s="102"/>
      <c r="E20" s="102"/>
      <c r="F20" s="99" t="str">
        <f aca="false">IF(E20="","",IFERROR(INDEX('Fontes e Parcerias'!$C$5:$C$500,MATCH(IFERROR(LEFT(E20,FIND(" · ",E20)-1),E20),'Fontes e Parcerias'!$A$5:$A$500,0)),"Fonte não encontrada"))</f>
        <v/>
      </c>
      <c r="G20" s="103"/>
      <c r="H20" s="102"/>
      <c r="I20" s="102"/>
      <c r="J20" s="117"/>
      <c r="K20" s="103"/>
      <c r="L20" s="103"/>
      <c r="M20" s="99" t="str">
        <f aca="false">IF(OR(K20="",L20=""),"",IF((IF(L20="Alto",3,IF(L20="Médio",2,1))-IF(K20="Alto",3,IF(K20="Médio",2,1)))=2,"⚡ Quick win",IF((IF(L20="Alto",3,IF(L20="Médio",2,1))-IF(K20="Alto",3,IF(K20="Médio",2,1)))=1,"🚀 Alto retorno",IF(AND(L20="Alto",K20="Alto"),"🎯 Estratégica",IF((IF(L20="Alto",3,IF(L20="Médio",2,1))-IF(K20="Alto",3,IF(K20="Médio",2,1)))=0,"⚖ Equilibrada","⏳ Baixo retorno")))))</f>
        <v/>
      </c>
      <c r="N20" s="102"/>
      <c r="O20" s="102"/>
      <c r="P20" s="103"/>
      <c r="Q20" s="102"/>
      <c r="R20" s="104"/>
      <c r="S20" s="102"/>
      <c r="T20" s="104"/>
      <c r="U20" s="102"/>
    </row>
    <row r="21" customFormat="false" ht="15" hidden="false" customHeight="false" outlineLevel="0" collapsed="false">
      <c r="A21" s="93" t="s">
        <v>916</v>
      </c>
      <c r="B21" s="105"/>
      <c r="C21" s="105"/>
      <c r="D21" s="105"/>
      <c r="E21" s="105"/>
      <c r="F21" s="99" t="str">
        <f aca="false">IF(E21="","",IFERROR(INDEX('Fontes e Parcerias'!$C$5:$C$500,MATCH(IFERROR(LEFT(E21,FIND(" · ",E21)-1),E21),'Fontes e Parcerias'!$A$5:$A$500,0)),"Fonte não encontrada"))</f>
        <v/>
      </c>
      <c r="G21" s="106"/>
      <c r="H21" s="105"/>
      <c r="I21" s="105"/>
      <c r="J21" s="118"/>
      <c r="K21" s="106"/>
      <c r="L21" s="106"/>
      <c r="M21" s="99" t="str">
        <f aca="false">IF(OR(K21="",L21=""),"",IF((IF(L21="Alto",3,IF(L21="Médio",2,1))-IF(K21="Alto",3,IF(K21="Médio",2,1)))=2,"⚡ Quick win",IF((IF(L21="Alto",3,IF(L21="Médio",2,1))-IF(K21="Alto",3,IF(K21="Médio",2,1)))=1,"🚀 Alto retorno",IF(AND(L21="Alto",K21="Alto"),"🎯 Estratégica",IF((IF(L21="Alto",3,IF(L21="Médio",2,1))-IF(K21="Alto",3,IF(K21="Médio",2,1)))=0,"⚖ Equilibrada","⏳ Baixo retorno")))))</f>
        <v/>
      </c>
      <c r="N21" s="105"/>
      <c r="O21" s="105"/>
      <c r="P21" s="106"/>
      <c r="Q21" s="105"/>
      <c r="R21" s="107"/>
      <c r="S21" s="105"/>
      <c r="T21" s="107"/>
      <c r="U21" s="105"/>
    </row>
    <row r="22" customFormat="false" ht="15" hidden="false" customHeight="false" outlineLevel="0" collapsed="false">
      <c r="A22" s="101" t="s">
        <v>917</v>
      </c>
      <c r="B22" s="102"/>
      <c r="C22" s="102"/>
      <c r="D22" s="102"/>
      <c r="E22" s="102"/>
      <c r="F22" s="99" t="str">
        <f aca="false">IF(E22="","",IFERROR(INDEX('Fontes e Parcerias'!$C$5:$C$500,MATCH(IFERROR(LEFT(E22,FIND(" · ",E22)-1),E22),'Fontes e Parcerias'!$A$5:$A$500,0)),"Fonte não encontrada"))</f>
        <v/>
      </c>
      <c r="G22" s="103"/>
      <c r="H22" s="102"/>
      <c r="I22" s="102"/>
      <c r="J22" s="117"/>
      <c r="K22" s="103"/>
      <c r="L22" s="103"/>
      <c r="M22" s="99" t="str">
        <f aca="false">IF(OR(K22="",L22=""),"",IF((IF(L22="Alto",3,IF(L22="Médio",2,1))-IF(K22="Alto",3,IF(K22="Médio",2,1)))=2,"⚡ Quick win",IF((IF(L22="Alto",3,IF(L22="Médio",2,1))-IF(K22="Alto",3,IF(K22="Médio",2,1)))=1,"🚀 Alto retorno",IF(AND(L22="Alto",K22="Alto"),"🎯 Estratégica",IF((IF(L22="Alto",3,IF(L22="Médio",2,1))-IF(K22="Alto",3,IF(K22="Médio",2,1)))=0,"⚖ Equilibrada","⏳ Baixo retorno")))))</f>
        <v/>
      </c>
      <c r="N22" s="102"/>
      <c r="O22" s="102"/>
      <c r="P22" s="103"/>
      <c r="Q22" s="102"/>
      <c r="R22" s="104"/>
      <c r="S22" s="102"/>
      <c r="T22" s="104"/>
      <c r="U22" s="102"/>
    </row>
    <row r="23" customFormat="false" ht="15" hidden="false" customHeight="false" outlineLevel="0" collapsed="false">
      <c r="A23" s="93" t="s">
        <v>918</v>
      </c>
      <c r="B23" s="105"/>
      <c r="C23" s="105"/>
      <c r="D23" s="105"/>
      <c r="E23" s="105"/>
      <c r="F23" s="99" t="str">
        <f aca="false">IF(E23="","",IFERROR(INDEX('Fontes e Parcerias'!$C$5:$C$500,MATCH(IFERROR(LEFT(E23,FIND(" · ",E23)-1),E23),'Fontes e Parcerias'!$A$5:$A$500,0)),"Fonte não encontrada"))</f>
        <v/>
      </c>
      <c r="G23" s="106"/>
      <c r="H23" s="105"/>
      <c r="I23" s="105"/>
      <c r="J23" s="118"/>
      <c r="K23" s="106"/>
      <c r="L23" s="106"/>
      <c r="M23" s="99" t="str">
        <f aca="false">IF(OR(K23="",L23=""),"",IF((IF(L23="Alto",3,IF(L23="Médio",2,1))-IF(K23="Alto",3,IF(K23="Médio",2,1)))=2,"⚡ Quick win",IF((IF(L23="Alto",3,IF(L23="Médio",2,1))-IF(K23="Alto",3,IF(K23="Médio",2,1)))=1,"🚀 Alto retorno",IF(AND(L23="Alto",K23="Alto"),"🎯 Estratégica",IF((IF(L23="Alto",3,IF(L23="Médio",2,1))-IF(K23="Alto",3,IF(K23="Médio",2,1)))=0,"⚖ Equilibrada","⏳ Baixo retorno")))))</f>
        <v/>
      </c>
      <c r="N23" s="105"/>
      <c r="O23" s="105"/>
      <c r="P23" s="106"/>
      <c r="Q23" s="105"/>
      <c r="R23" s="107"/>
      <c r="S23" s="105"/>
      <c r="T23" s="107"/>
      <c r="U23" s="105"/>
    </row>
    <row r="24" customFormat="false" ht="15" hidden="false" customHeight="false" outlineLevel="0" collapsed="false">
      <c r="A24" s="101" t="s">
        <v>919</v>
      </c>
      <c r="B24" s="102"/>
      <c r="C24" s="102"/>
      <c r="D24" s="102"/>
      <c r="E24" s="102"/>
      <c r="F24" s="99" t="str">
        <f aca="false">IF(E24="","",IFERROR(INDEX('Fontes e Parcerias'!$C$5:$C$500,MATCH(IFERROR(LEFT(E24,FIND(" · ",E24)-1),E24),'Fontes e Parcerias'!$A$5:$A$500,0)),"Fonte não encontrada"))</f>
        <v/>
      </c>
      <c r="G24" s="103"/>
      <c r="H24" s="102"/>
      <c r="I24" s="102"/>
      <c r="J24" s="117"/>
      <c r="K24" s="103"/>
      <c r="L24" s="103"/>
      <c r="M24" s="99" t="str">
        <f aca="false">IF(OR(K24="",L24=""),"",IF((IF(L24="Alto",3,IF(L24="Médio",2,1))-IF(K24="Alto",3,IF(K24="Médio",2,1)))=2,"⚡ Quick win",IF((IF(L24="Alto",3,IF(L24="Médio",2,1))-IF(K24="Alto",3,IF(K24="Médio",2,1)))=1,"🚀 Alto retorno",IF(AND(L24="Alto",K24="Alto"),"🎯 Estratégica",IF((IF(L24="Alto",3,IF(L24="Médio",2,1))-IF(K24="Alto",3,IF(K24="Médio",2,1)))=0,"⚖ Equilibrada","⏳ Baixo retorno")))))</f>
        <v/>
      </c>
      <c r="N24" s="102"/>
      <c r="O24" s="102"/>
      <c r="P24" s="103"/>
      <c r="Q24" s="102"/>
      <c r="R24" s="104"/>
      <c r="S24" s="102"/>
      <c r="T24" s="104"/>
      <c r="U24" s="102"/>
    </row>
    <row r="25" customFormat="false" ht="15" hidden="false" customHeight="false" outlineLevel="0" collapsed="false">
      <c r="A25" s="93" t="s">
        <v>920</v>
      </c>
      <c r="B25" s="105"/>
      <c r="C25" s="105"/>
      <c r="D25" s="105"/>
      <c r="E25" s="105"/>
      <c r="F25" s="99" t="str">
        <f aca="false">IF(E25="","",IFERROR(INDEX('Fontes e Parcerias'!$C$5:$C$500,MATCH(IFERROR(LEFT(E25,FIND(" · ",E25)-1),E25),'Fontes e Parcerias'!$A$5:$A$500,0)),"Fonte não encontrada"))</f>
        <v/>
      </c>
      <c r="G25" s="106"/>
      <c r="H25" s="105"/>
      <c r="I25" s="105"/>
      <c r="J25" s="118"/>
      <c r="K25" s="106"/>
      <c r="L25" s="106"/>
      <c r="M25" s="99" t="str">
        <f aca="false">IF(OR(K25="",L25=""),"",IF((IF(L25="Alto",3,IF(L25="Médio",2,1))-IF(K25="Alto",3,IF(K25="Médio",2,1)))=2,"⚡ Quick win",IF((IF(L25="Alto",3,IF(L25="Médio",2,1))-IF(K25="Alto",3,IF(K25="Médio",2,1)))=1,"🚀 Alto retorno",IF(AND(L25="Alto",K25="Alto"),"🎯 Estratégica",IF((IF(L25="Alto",3,IF(L25="Médio",2,1))-IF(K25="Alto",3,IF(K25="Médio",2,1)))=0,"⚖ Equilibrada","⏳ Baixo retorno")))))</f>
        <v/>
      </c>
      <c r="N25" s="105"/>
      <c r="O25" s="105"/>
      <c r="P25" s="106"/>
      <c r="Q25" s="105"/>
      <c r="R25" s="107"/>
      <c r="S25" s="105"/>
      <c r="T25" s="107"/>
      <c r="U25" s="105"/>
    </row>
    <row r="26" customFormat="false" ht="15" hidden="false" customHeight="false" outlineLevel="0" collapsed="false">
      <c r="A26" s="101" t="s">
        <v>921</v>
      </c>
      <c r="B26" s="102"/>
      <c r="C26" s="102"/>
      <c r="D26" s="102"/>
      <c r="E26" s="102"/>
      <c r="F26" s="99" t="str">
        <f aca="false">IF(E26="","",IFERROR(INDEX('Fontes e Parcerias'!$C$5:$C$500,MATCH(IFERROR(LEFT(E26,FIND(" · ",E26)-1),E26),'Fontes e Parcerias'!$A$5:$A$500,0)),"Fonte não encontrada"))</f>
        <v/>
      </c>
      <c r="G26" s="103"/>
      <c r="H26" s="102"/>
      <c r="I26" s="102"/>
      <c r="J26" s="117"/>
      <c r="K26" s="103"/>
      <c r="L26" s="103"/>
      <c r="M26" s="99" t="str">
        <f aca="false">IF(OR(K26="",L26=""),"",IF((IF(L26="Alto",3,IF(L26="Médio",2,1))-IF(K26="Alto",3,IF(K26="Médio",2,1)))=2,"⚡ Quick win",IF((IF(L26="Alto",3,IF(L26="Médio",2,1))-IF(K26="Alto",3,IF(K26="Médio",2,1)))=1,"🚀 Alto retorno",IF(AND(L26="Alto",K26="Alto"),"🎯 Estratégica",IF((IF(L26="Alto",3,IF(L26="Médio",2,1))-IF(K26="Alto",3,IF(K26="Médio",2,1)))=0,"⚖ Equilibrada","⏳ Baixo retorno")))))</f>
        <v/>
      </c>
      <c r="N26" s="102"/>
      <c r="O26" s="102"/>
      <c r="P26" s="103"/>
      <c r="Q26" s="102"/>
      <c r="R26" s="104"/>
      <c r="S26" s="102"/>
      <c r="T26" s="104"/>
      <c r="U26" s="102"/>
    </row>
    <row r="27" customFormat="false" ht="15" hidden="false" customHeight="false" outlineLevel="0" collapsed="false">
      <c r="A27" s="93" t="s">
        <v>922</v>
      </c>
      <c r="B27" s="105"/>
      <c r="C27" s="105"/>
      <c r="D27" s="105"/>
      <c r="E27" s="105"/>
      <c r="F27" s="99" t="str">
        <f aca="false">IF(E27="","",IFERROR(INDEX('Fontes e Parcerias'!$C$5:$C$500,MATCH(IFERROR(LEFT(E27,FIND(" · ",E27)-1),E27),'Fontes e Parcerias'!$A$5:$A$500,0)),"Fonte não encontrada"))</f>
        <v/>
      </c>
      <c r="G27" s="106"/>
      <c r="H27" s="105"/>
      <c r="I27" s="105"/>
      <c r="J27" s="118"/>
      <c r="K27" s="106"/>
      <c r="L27" s="106"/>
      <c r="M27" s="99" t="str">
        <f aca="false">IF(OR(K27="",L27=""),"",IF((IF(L27="Alto",3,IF(L27="Médio",2,1))-IF(K27="Alto",3,IF(K27="Médio",2,1)))=2,"⚡ Quick win",IF((IF(L27="Alto",3,IF(L27="Médio",2,1))-IF(K27="Alto",3,IF(K27="Médio",2,1)))=1,"🚀 Alto retorno",IF(AND(L27="Alto",K27="Alto"),"🎯 Estratégica",IF((IF(L27="Alto",3,IF(L27="Médio",2,1))-IF(K27="Alto",3,IF(K27="Médio",2,1)))=0,"⚖ Equilibrada","⏳ Baixo retorno")))))</f>
        <v/>
      </c>
      <c r="N27" s="105"/>
      <c r="O27" s="105"/>
      <c r="P27" s="106"/>
      <c r="Q27" s="105"/>
      <c r="R27" s="107"/>
      <c r="S27" s="105"/>
      <c r="T27" s="107"/>
      <c r="U27" s="105"/>
    </row>
    <row r="28" customFormat="false" ht="15" hidden="false" customHeight="false" outlineLevel="0" collapsed="false">
      <c r="A28" s="101" t="s">
        <v>923</v>
      </c>
      <c r="B28" s="102"/>
      <c r="C28" s="102"/>
      <c r="D28" s="102"/>
      <c r="E28" s="102"/>
      <c r="F28" s="99" t="str">
        <f aca="false">IF(E28="","",IFERROR(INDEX('Fontes e Parcerias'!$C$5:$C$500,MATCH(IFERROR(LEFT(E28,FIND(" · ",E28)-1),E28),'Fontes e Parcerias'!$A$5:$A$500,0)),"Fonte não encontrada"))</f>
        <v/>
      </c>
      <c r="G28" s="103"/>
      <c r="H28" s="102"/>
      <c r="I28" s="102"/>
      <c r="J28" s="117"/>
      <c r="K28" s="103"/>
      <c r="L28" s="103"/>
      <c r="M28" s="99" t="str">
        <f aca="false">IF(OR(K28="",L28=""),"",IF((IF(L28="Alto",3,IF(L28="Médio",2,1))-IF(K28="Alto",3,IF(K28="Médio",2,1)))=2,"⚡ Quick win",IF((IF(L28="Alto",3,IF(L28="Médio",2,1))-IF(K28="Alto",3,IF(K28="Médio",2,1)))=1,"🚀 Alto retorno",IF(AND(L28="Alto",K28="Alto"),"🎯 Estratégica",IF((IF(L28="Alto",3,IF(L28="Médio",2,1))-IF(K28="Alto",3,IF(K28="Médio",2,1)))=0,"⚖ Equilibrada","⏳ Baixo retorno")))))</f>
        <v/>
      </c>
      <c r="N28" s="102"/>
      <c r="O28" s="102"/>
      <c r="P28" s="103"/>
      <c r="Q28" s="102"/>
      <c r="R28" s="104"/>
      <c r="S28" s="102"/>
      <c r="T28" s="104"/>
      <c r="U28" s="102"/>
    </row>
    <row r="29" customFormat="false" ht="15" hidden="false" customHeight="false" outlineLevel="0" collapsed="false">
      <c r="A29" s="93" t="s">
        <v>924</v>
      </c>
      <c r="B29" s="105"/>
      <c r="C29" s="105"/>
      <c r="D29" s="105"/>
      <c r="E29" s="105"/>
      <c r="F29" s="99" t="str">
        <f aca="false">IF(E29="","",IFERROR(INDEX('Fontes e Parcerias'!$C$5:$C$500,MATCH(IFERROR(LEFT(E29,FIND(" · ",E29)-1),E29),'Fontes e Parcerias'!$A$5:$A$500,0)),"Fonte não encontrada"))</f>
        <v/>
      </c>
      <c r="G29" s="106"/>
      <c r="H29" s="105"/>
      <c r="I29" s="105"/>
      <c r="J29" s="118"/>
      <c r="K29" s="106"/>
      <c r="L29" s="106"/>
      <c r="M29" s="99" t="str">
        <f aca="false">IF(OR(K29="",L29=""),"",IF((IF(L29="Alto",3,IF(L29="Médio",2,1))-IF(K29="Alto",3,IF(K29="Médio",2,1)))=2,"⚡ Quick win",IF((IF(L29="Alto",3,IF(L29="Médio",2,1))-IF(K29="Alto",3,IF(K29="Médio",2,1)))=1,"🚀 Alto retorno",IF(AND(L29="Alto",K29="Alto"),"🎯 Estratégica",IF((IF(L29="Alto",3,IF(L29="Médio",2,1))-IF(K29="Alto",3,IF(K29="Médio",2,1)))=0,"⚖ Equilibrada","⏳ Baixo retorno")))))</f>
        <v/>
      </c>
      <c r="N29" s="105"/>
      <c r="O29" s="105"/>
      <c r="P29" s="106"/>
      <c r="Q29" s="105"/>
      <c r="R29" s="107"/>
      <c r="S29" s="105"/>
      <c r="T29" s="107"/>
      <c r="U29" s="105"/>
    </row>
    <row r="30" customFormat="false" ht="15" hidden="false" customHeight="false" outlineLevel="0" collapsed="false">
      <c r="A30" s="101" t="s">
        <v>925</v>
      </c>
      <c r="B30" s="102"/>
      <c r="C30" s="102"/>
      <c r="D30" s="102"/>
      <c r="E30" s="102"/>
      <c r="F30" s="99" t="str">
        <f aca="false">IF(E30="","",IFERROR(INDEX('Fontes e Parcerias'!$C$5:$C$500,MATCH(IFERROR(LEFT(E30,FIND(" · ",E30)-1),E30),'Fontes e Parcerias'!$A$5:$A$500,0)),"Fonte não encontrada"))</f>
        <v/>
      </c>
      <c r="G30" s="103"/>
      <c r="H30" s="102"/>
      <c r="I30" s="102"/>
      <c r="J30" s="117"/>
      <c r="K30" s="103"/>
      <c r="L30" s="103"/>
      <c r="M30" s="99" t="str">
        <f aca="false">IF(OR(K30="",L30=""),"",IF((IF(L30="Alto",3,IF(L30="Médio",2,1))-IF(K30="Alto",3,IF(K30="Médio",2,1)))=2,"⚡ Quick win",IF((IF(L30="Alto",3,IF(L30="Médio",2,1))-IF(K30="Alto",3,IF(K30="Médio",2,1)))=1,"🚀 Alto retorno",IF(AND(L30="Alto",K30="Alto"),"🎯 Estratégica",IF((IF(L30="Alto",3,IF(L30="Médio",2,1))-IF(K30="Alto",3,IF(K30="Médio",2,1)))=0,"⚖ Equilibrada","⏳ Baixo retorno")))))</f>
        <v/>
      </c>
      <c r="N30" s="102"/>
      <c r="O30" s="102"/>
      <c r="P30" s="103"/>
      <c r="Q30" s="102"/>
      <c r="R30" s="104"/>
      <c r="S30" s="102"/>
      <c r="T30" s="104"/>
      <c r="U30" s="102"/>
    </row>
    <row r="31" customFormat="false" ht="15" hidden="false" customHeight="false" outlineLevel="0" collapsed="false">
      <c r="A31" s="93" t="s">
        <v>926</v>
      </c>
      <c r="B31" s="105"/>
      <c r="C31" s="105"/>
      <c r="D31" s="105"/>
      <c r="E31" s="105"/>
      <c r="F31" s="99" t="str">
        <f aca="false">IF(E31="","",IFERROR(INDEX('Fontes e Parcerias'!$C$5:$C$500,MATCH(IFERROR(LEFT(E31,FIND(" · ",E31)-1),E31),'Fontes e Parcerias'!$A$5:$A$500,0)),"Fonte não encontrada"))</f>
        <v/>
      </c>
      <c r="G31" s="106"/>
      <c r="H31" s="105"/>
      <c r="I31" s="105"/>
      <c r="J31" s="118"/>
      <c r="K31" s="106"/>
      <c r="L31" s="106"/>
      <c r="M31" s="99" t="str">
        <f aca="false">IF(OR(K31="",L31=""),"",IF((IF(L31="Alto",3,IF(L31="Médio",2,1))-IF(K31="Alto",3,IF(K31="Médio",2,1)))=2,"⚡ Quick win",IF((IF(L31="Alto",3,IF(L31="Médio",2,1))-IF(K31="Alto",3,IF(K31="Médio",2,1)))=1,"🚀 Alto retorno",IF(AND(L31="Alto",K31="Alto"),"🎯 Estratégica",IF((IF(L31="Alto",3,IF(L31="Médio",2,1))-IF(K31="Alto",3,IF(K31="Médio",2,1)))=0,"⚖ Equilibrada","⏳ Baixo retorno")))))</f>
        <v/>
      </c>
      <c r="N31" s="105"/>
      <c r="O31" s="105"/>
      <c r="P31" s="106"/>
      <c r="Q31" s="105"/>
      <c r="R31" s="107"/>
      <c r="S31" s="105"/>
      <c r="T31" s="107"/>
      <c r="U31" s="105"/>
    </row>
    <row r="32" customFormat="false" ht="15" hidden="false" customHeight="false" outlineLevel="0" collapsed="false">
      <c r="A32" s="101" t="s">
        <v>927</v>
      </c>
      <c r="B32" s="102"/>
      <c r="C32" s="102"/>
      <c r="D32" s="102"/>
      <c r="E32" s="102"/>
      <c r="F32" s="99" t="str">
        <f aca="false">IF(E32="","",IFERROR(INDEX('Fontes e Parcerias'!$C$5:$C$500,MATCH(IFERROR(LEFT(E32,FIND(" · ",E32)-1),E32),'Fontes e Parcerias'!$A$5:$A$500,0)),"Fonte não encontrada"))</f>
        <v/>
      </c>
      <c r="G32" s="103"/>
      <c r="H32" s="102"/>
      <c r="I32" s="102"/>
      <c r="J32" s="117"/>
      <c r="K32" s="103"/>
      <c r="L32" s="103"/>
      <c r="M32" s="99" t="str">
        <f aca="false">IF(OR(K32="",L32=""),"",IF((IF(L32="Alto",3,IF(L32="Médio",2,1))-IF(K32="Alto",3,IF(K32="Médio",2,1)))=2,"⚡ Quick win",IF((IF(L32="Alto",3,IF(L32="Médio",2,1))-IF(K32="Alto",3,IF(K32="Médio",2,1)))=1,"🚀 Alto retorno",IF(AND(L32="Alto",K32="Alto"),"🎯 Estratégica",IF((IF(L32="Alto",3,IF(L32="Médio",2,1))-IF(K32="Alto",3,IF(K32="Médio",2,1)))=0,"⚖ Equilibrada","⏳ Baixo retorno")))))</f>
        <v/>
      </c>
      <c r="N32" s="102"/>
      <c r="O32" s="102"/>
      <c r="P32" s="103"/>
      <c r="Q32" s="102"/>
      <c r="R32" s="104"/>
      <c r="S32" s="102"/>
      <c r="T32" s="104"/>
      <c r="U32" s="102"/>
    </row>
    <row r="33" customFormat="false" ht="15" hidden="false" customHeight="false" outlineLevel="0" collapsed="false">
      <c r="A33" s="93" t="s">
        <v>928</v>
      </c>
      <c r="B33" s="105"/>
      <c r="C33" s="105"/>
      <c r="D33" s="105"/>
      <c r="E33" s="105"/>
      <c r="F33" s="99" t="str">
        <f aca="false">IF(E33="","",IFERROR(INDEX('Fontes e Parcerias'!$C$5:$C$500,MATCH(IFERROR(LEFT(E33,FIND(" · ",E33)-1),E33),'Fontes e Parcerias'!$A$5:$A$500,0)),"Fonte não encontrada"))</f>
        <v/>
      </c>
      <c r="G33" s="106"/>
      <c r="H33" s="105"/>
      <c r="I33" s="105"/>
      <c r="J33" s="118"/>
      <c r="K33" s="106"/>
      <c r="L33" s="106"/>
      <c r="M33" s="99" t="str">
        <f aca="false">IF(OR(K33="",L33=""),"",IF((IF(L33="Alto",3,IF(L33="Médio",2,1))-IF(K33="Alto",3,IF(K33="Médio",2,1)))=2,"⚡ Quick win",IF((IF(L33="Alto",3,IF(L33="Médio",2,1))-IF(K33="Alto",3,IF(K33="Médio",2,1)))=1,"🚀 Alto retorno",IF(AND(L33="Alto",K33="Alto"),"🎯 Estratégica",IF((IF(L33="Alto",3,IF(L33="Médio",2,1))-IF(K33="Alto",3,IF(K33="Médio",2,1)))=0,"⚖ Equilibrada","⏳ Baixo retorno")))))</f>
        <v/>
      </c>
      <c r="N33" s="105"/>
      <c r="O33" s="105"/>
      <c r="P33" s="106"/>
      <c r="Q33" s="105"/>
      <c r="R33" s="107"/>
      <c r="S33" s="105"/>
      <c r="T33" s="107"/>
      <c r="U33" s="105"/>
    </row>
    <row r="34" customFormat="false" ht="15" hidden="false" customHeight="false" outlineLevel="0" collapsed="false">
      <c r="A34" s="101" t="s">
        <v>929</v>
      </c>
      <c r="B34" s="102"/>
      <c r="C34" s="102"/>
      <c r="D34" s="102"/>
      <c r="E34" s="102"/>
      <c r="F34" s="99" t="str">
        <f aca="false">IF(E34="","",IFERROR(INDEX('Fontes e Parcerias'!$C$5:$C$500,MATCH(IFERROR(LEFT(E34,FIND(" · ",E34)-1),E34),'Fontes e Parcerias'!$A$5:$A$500,0)),"Fonte não encontrada"))</f>
        <v/>
      </c>
      <c r="G34" s="103"/>
      <c r="H34" s="102"/>
      <c r="I34" s="102"/>
      <c r="J34" s="117"/>
      <c r="K34" s="103"/>
      <c r="L34" s="103"/>
      <c r="M34" s="99" t="str">
        <f aca="false">IF(OR(K34="",L34=""),"",IF((IF(L34="Alto",3,IF(L34="Médio",2,1))-IF(K34="Alto",3,IF(K34="Médio",2,1)))=2,"⚡ Quick win",IF((IF(L34="Alto",3,IF(L34="Médio",2,1))-IF(K34="Alto",3,IF(K34="Médio",2,1)))=1,"🚀 Alto retorno",IF(AND(L34="Alto",K34="Alto"),"🎯 Estratégica",IF((IF(L34="Alto",3,IF(L34="Médio",2,1))-IF(K34="Alto",3,IF(K34="Médio",2,1)))=0,"⚖ Equilibrada","⏳ Baixo retorno")))))</f>
        <v/>
      </c>
      <c r="N34" s="102"/>
      <c r="O34" s="102"/>
      <c r="P34" s="103"/>
      <c r="Q34" s="102"/>
      <c r="R34" s="104"/>
      <c r="S34" s="102"/>
      <c r="T34" s="104"/>
      <c r="U34" s="102"/>
    </row>
    <row r="35" customFormat="false" ht="15" hidden="false" customHeight="false" outlineLevel="0" collapsed="false">
      <c r="A35" s="93" t="s">
        <v>930</v>
      </c>
      <c r="B35" s="105"/>
      <c r="C35" s="105"/>
      <c r="D35" s="105"/>
      <c r="E35" s="105"/>
      <c r="F35" s="99" t="str">
        <f aca="false">IF(E35="","",IFERROR(INDEX('Fontes e Parcerias'!$C$5:$C$500,MATCH(IFERROR(LEFT(E35,FIND(" · ",E35)-1),E35),'Fontes e Parcerias'!$A$5:$A$500,0)),"Fonte não encontrada"))</f>
        <v/>
      </c>
      <c r="G35" s="106"/>
      <c r="H35" s="105"/>
      <c r="I35" s="105"/>
      <c r="J35" s="118"/>
      <c r="K35" s="106"/>
      <c r="L35" s="106"/>
      <c r="M35" s="99" t="str">
        <f aca="false">IF(OR(K35="",L35=""),"",IF((IF(L35="Alto",3,IF(L35="Médio",2,1))-IF(K35="Alto",3,IF(K35="Médio",2,1)))=2,"⚡ Quick win",IF((IF(L35="Alto",3,IF(L35="Médio",2,1))-IF(K35="Alto",3,IF(K35="Médio",2,1)))=1,"🚀 Alto retorno",IF(AND(L35="Alto",K35="Alto"),"🎯 Estratégica",IF((IF(L35="Alto",3,IF(L35="Médio",2,1))-IF(K35="Alto",3,IF(K35="Médio",2,1)))=0,"⚖ Equilibrada","⏳ Baixo retorno")))))</f>
        <v/>
      </c>
      <c r="N35" s="105"/>
      <c r="O35" s="105"/>
      <c r="P35" s="106"/>
      <c r="Q35" s="105"/>
      <c r="R35" s="107"/>
      <c r="S35" s="105"/>
      <c r="T35" s="107"/>
      <c r="U35" s="105"/>
    </row>
    <row r="36" customFormat="false" ht="15" hidden="false" customHeight="false" outlineLevel="0" collapsed="false">
      <c r="A36" s="101" t="s">
        <v>931</v>
      </c>
      <c r="B36" s="102"/>
      <c r="C36" s="102"/>
      <c r="D36" s="102"/>
      <c r="E36" s="102"/>
      <c r="F36" s="99" t="str">
        <f aca="false">IF(E36="","",IFERROR(INDEX('Fontes e Parcerias'!$C$5:$C$500,MATCH(IFERROR(LEFT(E36,FIND(" · ",E36)-1),E36),'Fontes e Parcerias'!$A$5:$A$500,0)),"Fonte não encontrada"))</f>
        <v/>
      </c>
      <c r="G36" s="103"/>
      <c r="H36" s="102"/>
      <c r="I36" s="102"/>
      <c r="J36" s="117"/>
      <c r="K36" s="103"/>
      <c r="L36" s="103"/>
      <c r="M36" s="99" t="str">
        <f aca="false">IF(OR(K36="",L36=""),"",IF((IF(L36="Alto",3,IF(L36="Médio",2,1))-IF(K36="Alto",3,IF(K36="Médio",2,1)))=2,"⚡ Quick win",IF((IF(L36="Alto",3,IF(L36="Médio",2,1))-IF(K36="Alto",3,IF(K36="Médio",2,1)))=1,"🚀 Alto retorno",IF(AND(L36="Alto",K36="Alto"),"🎯 Estratégica",IF((IF(L36="Alto",3,IF(L36="Médio",2,1))-IF(K36="Alto",3,IF(K36="Médio",2,1)))=0,"⚖ Equilibrada","⏳ Baixo retorno")))))</f>
        <v/>
      </c>
      <c r="N36" s="102"/>
      <c r="O36" s="102"/>
      <c r="P36" s="103"/>
      <c r="Q36" s="102"/>
      <c r="R36" s="104"/>
      <c r="S36" s="102"/>
      <c r="T36" s="104"/>
      <c r="U36" s="102"/>
    </row>
    <row r="37" customFormat="false" ht="15" hidden="false" customHeight="false" outlineLevel="0" collapsed="false">
      <c r="A37" s="93" t="s">
        <v>932</v>
      </c>
      <c r="B37" s="105"/>
      <c r="C37" s="105"/>
      <c r="D37" s="105"/>
      <c r="E37" s="105"/>
      <c r="F37" s="99" t="str">
        <f aca="false">IF(E37="","",IFERROR(INDEX('Fontes e Parcerias'!$C$5:$C$500,MATCH(IFERROR(LEFT(E37,FIND(" · ",E37)-1),E37),'Fontes e Parcerias'!$A$5:$A$500,0)),"Fonte não encontrada"))</f>
        <v/>
      </c>
      <c r="G37" s="106"/>
      <c r="H37" s="105"/>
      <c r="I37" s="105"/>
      <c r="J37" s="118"/>
      <c r="K37" s="106"/>
      <c r="L37" s="106"/>
      <c r="M37" s="99" t="str">
        <f aca="false">IF(OR(K37="",L37=""),"",IF((IF(L37="Alto",3,IF(L37="Médio",2,1))-IF(K37="Alto",3,IF(K37="Médio",2,1)))=2,"⚡ Quick win",IF((IF(L37="Alto",3,IF(L37="Médio",2,1))-IF(K37="Alto",3,IF(K37="Médio",2,1)))=1,"🚀 Alto retorno",IF(AND(L37="Alto",K37="Alto"),"🎯 Estratégica",IF((IF(L37="Alto",3,IF(L37="Médio",2,1))-IF(K37="Alto",3,IF(K37="Médio",2,1)))=0,"⚖ Equilibrada","⏳ Baixo retorno")))))</f>
        <v/>
      </c>
      <c r="N37" s="105"/>
      <c r="O37" s="105"/>
      <c r="P37" s="106"/>
      <c r="Q37" s="105"/>
      <c r="R37" s="107"/>
      <c r="S37" s="105"/>
      <c r="T37" s="107"/>
      <c r="U37" s="105"/>
    </row>
    <row r="38" customFormat="false" ht="15" hidden="false" customHeight="false" outlineLevel="0" collapsed="false">
      <c r="A38" s="101" t="s">
        <v>933</v>
      </c>
      <c r="B38" s="102"/>
      <c r="C38" s="102"/>
      <c r="D38" s="102"/>
      <c r="E38" s="102"/>
      <c r="F38" s="99" t="str">
        <f aca="false">IF(E38="","",IFERROR(INDEX('Fontes e Parcerias'!$C$5:$C$500,MATCH(IFERROR(LEFT(E38,FIND(" · ",E38)-1),E38),'Fontes e Parcerias'!$A$5:$A$500,0)),"Fonte não encontrada"))</f>
        <v/>
      </c>
      <c r="G38" s="103"/>
      <c r="H38" s="102"/>
      <c r="I38" s="102"/>
      <c r="J38" s="117"/>
      <c r="K38" s="103"/>
      <c r="L38" s="103"/>
      <c r="M38" s="99" t="str">
        <f aca="false">IF(OR(K38="",L38=""),"",IF((IF(L38="Alto",3,IF(L38="Médio",2,1))-IF(K38="Alto",3,IF(K38="Médio",2,1)))=2,"⚡ Quick win",IF((IF(L38="Alto",3,IF(L38="Médio",2,1))-IF(K38="Alto",3,IF(K38="Médio",2,1)))=1,"🚀 Alto retorno",IF(AND(L38="Alto",K38="Alto"),"🎯 Estratégica",IF((IF(L38="Alto",3,IF(L38="Médio",2,1))-IF(K38="Alto",3,IF(K38="Médio",2,1)))=0,"⚖ Equilibrada","⏳ Baixo retorno")))))</f>
        <v/>
      </c>
      <c r="N38" s="102"/>
      <c r="O38" s="102"/>
      <c r="P38" s="103"/>
      <c r="Q38" s="102"/>
      <c r="R38" s="104"/>
      <c r="S38" s="102"/>
      <c r="T38" s="104"/>
      <c r="U38" s="102"/>
    </row>
    <row r="39" customFormat="false" ht="15" hidden="false" customHeight="false" outlineLevel="0" collapsed="false">
      <c r="A39" s="93" t="s">
        <v>934</v>
      </c>
      <c r="B39" s="105"/>
      <c r="C39" s="105"/>
      <c r="D39" s="105"/>
      <c r="E39" s="105"/>
      <c r="F39" s="99" t="str">
        <f aca="false">IF(E39="","",IFERROR(INDEX('Fontes e Parcerias'!$C$5:$C$500,MATCH(IFERROR(LEFT(E39,FIND(" · ",E39)-1),E39),'Fontes e Parcerias'!$A$5:$A$500,0)),"Fonte não encontrada"))</f>
        <v/>
      </c>
      <c r="G39" s="106"/>
      <c r="H39" s="105"/>
      <c r="I39" s="105"/>
      <c r="J39" s="118"/>
      <c r="K39" s="106"/>
      <c r="L39" s="106"/>
      <c r="M39" s="99" t="str">
        <f aca="false">IF(OR(K39="",L39=""),"",IF((IF(L39="Alto",3,IF(L39="Médio",2,1))-IF(K39="Alto",3,IF(K39="Médio",2,1)))=2,"⚡ Quick win",IF((IF(L39="Alto",3,IF(L39="Médio",2,1))-IF(K39="Alto",3,IF(K39="Médio",2,1)))=1,"🚀 Alto retorno",IF(AND(L39="Alto",K39="Alto"),"🎯 Estratégica",IF((IF(L39="Alto",3,IF(L39="Médio",2,1))-IF(K39="Alto",3,IF(K39="Médio",2,1)))=0,"⚖ Equilibrada","⏳ Baixo retorno")))))</f>
        <v/>
      </c>
      <c r="N39" s="105"/>
      <c r="O39" s="105"/>
      <c r="P39" s="106"/>
      <c r="Q39" s="105"/>
      <c r="R39" s="107"/>
      <c r="S39" s="105"/>
      <c r="T39" s="107"/>
      <c r="U39" s="105"/>
    </row>
    <row r="40" customFormat="false" ht="15" hidden="false" customHeight="false" outlineLevel="0" collapsed="false">
      <c r="A40" s="101" t="s">
        <v>935</v>
      </c>
      <c r="B40" s="102"/>
      <c r="C40" s="102"/>
      <c r="D40" s="102"/>
      <c r="E40" s="102"/>
      <c r="F40" s="99" t="str">
        <f aca="false">IF(E40="","",IFERROR(INDEX('Fontes e Parcerias'!$C$5:$C$500,MATCH(IFERROR(LEFT(E40,FIND(" · ",E40)-1),E40),'Fontes e Parcerias'!$A$5:$A$500,0)),"Fonte não encontrada"))</f>
        <v/>
      </c>
      <c r="G40" s="103"/>
      <c r="H40" s="102"/>
      <c r="I40" s="102"/>
      <c r="J40" s="117"/>
      <c r="K40" s="103"/>
      <c r="L40" s="103"/>
      <c r="M40" s="99" t="str">
        <f aca="false">IF(OR(K40="",L40=""),"",IF((IF(L40="Alto",3,IF(L40="Médio",2,1))-IF(K40="Alto",3,IF(K40="Médio",2,1)))=2,"⚡ Quick win",IF((IF(L40="Alto",3,IF(L40="Médio",2,1))-IF(K40="Alto",3,IF(K40="Médio",2,1)))=1,"🚀 Alto retorno",IF(AND(L40="Alto",K40="Alto"),"🎯 Estratégica",IF((IF(L40="Alto",3,IF(L40="Médio",2,1))-IF(K40="Alto",3,IF(K40="Médio",2,1)))=0,"⚖ Equilibrada","⏳ Baixo retorno")))))</f>
        <v/>
      </c>
      <c r="N40" s="102"/>
      <c r="O40" s="102"/>
      <c r="P40" s="103"/>
      <c r="Q40" s="102"/>
      <c r="R40" s="104"/>
      <c r="S40" s="102"/>
      <c r="T40" s="104"/>
      <c r="U40" s="102"/>
    </row>
    <row r="41" customFormat="false" ht="15" hidden="false" customHeight="false" outlineLevel="0" collapsed="false">
      <c r="A41" s="93" t="s">
        <v>936</v>
      </c>
      <c r="B41" s="105"/>
      <c r="C41" s="105"/>
      <c r="D41" s="105"/>
      <c r="E41" s="105"/>
      <c r="F41" s="99" t="str">
        <f aca="false">IF(E41="","",IFERROR(INDEX('Fontes e Parcerias'!$C$5:$C$500,MATCH(IFERROR(LEFT(E41,FIND(" · ",E41)-1),E41),'Fontes e Parcerias'!$A$5:$A$500,0)),"Fonte não encontrada"))</f>
        <v/>
      </c>
      <c r="G41" s="106"/>
      <c r="H41" s="105"/>
      <c r="I41" s="105"/>
      <c r="J41" s="118"/>
      <c r="K41" s="106"/>
      <c r="L41" s="106"/>
      <c r="M41" s="99" t="str">
        <f aca="false">IF(OR(K41="",L41=""),"",IF((IF(L41="Alto",3,IF(L41="Médio",2,1))-IF(K41="Alto",3,IF(K41="Médio",2,1)))=2,"⚡ Quick win",IF((IF(L41="Alto",3,IF(L41="Médio",2,1))-IF(K41="Alto",3,IF(K41="Médio",2,1)))=1,"🚀 Alto retorno",IF(AND(L41="Alto",K41="Alto"),"🎯 Estratégica",IF((IF(L41="Alto",3,IF(L41="Médio",2,1))-IF(K41="Alto",3,IF(K41="Médio",2,1)))=0,"⚖ Equilibrada","⏳ Baixo retorno")))))</f>
        <v/>
      </c>
      <c r="N41" s="105"/>
      <c r="O41" s="105"/>
      <c r="P41" s="106"/>
      <c r="Q41" s="105"/>
      <c r="R41" s="107"/>
      <c r="S41" s="105"/>
      <c r="T41" s="107"/>
      <c r="U41" s="105"/>
    </row>
    <row r="42" customFormat="false" ht="15" hidden="false" customHeight="false" outlineLevel="0" collapsed="false">
      <c r="A42" s="101" t="s">
        <v>937</v>
      </c>
      <c r="B42" s="102"/>
      <c r="C42" s="102"/>
      <c r="D42" s="102"/>
      <c r="E42" s="102"/>
      <c r="F42" s="99" t="str">
        <f aca="false">IF(E42="","",IFERROR(INDEX('Fontes e Parcerias'!$C$5:$C$500,MATCH(IFERROR(LEFT(E42,FIND(" · ",E42)-1),E42),'Fontes e Parcerias'!$A$5:$A$500,0)),"Fonte não encontrada"))</f>
        <v/>
      </c>
      <c r="G42" s="103"/>
      <c r="H42" s="102"/>
      <c r="I42" s="102"/>
      <c r="J42" s="117"/>
      <c r="K42" s="103"/>
      <c r="L42" s="103"/>
      <c r="M42" s="99" t="str">
        <f aca="false">IF(OR(K42="",L42=""),"",IF((IF(L42="Alto",3,IF(L42="Médio",2,1))-IF(K42="Alto",3,IF(K42="Médio",2,1)))=2,"⚡ Quick win",IF((IF(L42="Alto",3,IF(L42="Médio",2,1))-IF(K42="Alto",3,IF(K42="Médio",2,1)))=1,"🚀 Alto retorno",IF(AND(L42="Alto",K42="Alto"),"🎯 Estratégica",IF((IF(L42="Alto",3,IF(L42="Médio",2,1))-IF(K42="Alto",3,IF(K42="Médio",2,1)))=0,"⚖ Equilibrada","⏳ Baixo retorno")))))</f>
        <v/>
      </c>
      <c r="N42" s="102"/>
      <c r="O42" s="102"/>
      <c r="P42" s="103"/>
      <c r="Q42" s="102"/>
      <c r="R42" s="104"/>
      <c r="S42" s="102"/>
      <c r="T42" s="104"/>
      <c r="U42" s="102"/>
    </row>
    <row r="43" customFormat="false" ht="15" hidden="false" customHeight="false" outlineLevel="0" collapsed="false">
      <c r="A43" s="93" t="s">
        <v>938</v>
      </c>
      <c r="B43" s="105"/>
      <c r="C43" s="105"/>
      <c r="D43" s="105"/>
      <c r="E43" s="105"/>
      <c r="F43" s="99" t="str">
        <f aca="false">IF(E43="","",IFERROR(INDEX('Fontes e Parcerias'!$C$5:$C$500,MATCH(IFERROR(LEFT(E43,FIND(" · ",E43)-1),E43),'Fontes e Parcerias'!$A$5:$A$500,0)),"Fonte não encontrada"))</f>
        <v/>
      </c>
      <c r="G43" s="106"/>
      <c r="H43" s="105"/>
      <c r="I43" s="105"/>
      <c r="J43" s="118"/>
      <c r="K43" s="106"/>
      <c r="L43" s="106"/>
      <c r="M43" s="99" t="str">
        <f aca="false">IF(OR(K43="",L43=""),"",IF((IF(L43="Alto",3,IF(L43="Médio",2,1))-IF(K43="Alto",3,IF(K43="Médio",2,1)))=2,"⚡ Quick win",IF((IF(L43="Alto",3,IF(L43="Médio",2,1))-IF(K43="Alto",3,IF(K43="Médio",2,1)))=1,"🚀 Alto retorno",IF(AND(L43="Alto",K43="Alto"),"🎯 Estratégica",IF((IF(L43="Alto",3,IF(L43="Médio",2,1))-IF(K43="Alto",3,IF(K43="Médio",2,1)))=0,"⚖ Equilibrada","⏳ Baixo retorno")))))</f>
        <v/>
      </c>
      <c r="N43" s="105"/>
      <c r="O43" s="105"/>
      <c r="P43" s="106"/>
      <c r="Q43" s="105"/>
      <c r="R43" s="107"/>
      <c r="S43" s="105"/>
      <c r="T43" s="107"/>
      <c r="U43" s="105"/>
    </row>
    <row r="44" customFormat="false" ht="15" hidden="false" customHeight="false" outlineLevel="0" collapsed="false">
      <c r="A44" s="101" t="s">
        <v>939</v>
      </c>
      <c r="B44" s="102"/>
      <c r="C44" s="102"/>
      <c r="D44" s="102"/>
      <c r="E44" s="102"/>
      <c r="F44" s="99" t="str">
        <f aca="false">IF(E44="","",IFERROR(INDEX('Fontes e Parcerias'!$C$5:$C$500,MATCH(IFERROR(LEFT(E44,FIND(" · ",E44)-1),E44),'Fontes e Parcerias'!$A$5:$A$500,0)),"Fonte não encontrada"))</f>
        <v/>
      </c>
      <c r="G44" s="103"/>
      <c r="H44" s="102"/>
      <c r="I44" s="102"/>
      <c r="J44" s="117"/>
      <c r="K44" s="103"/>
      <c r="L44" s="103"/>
      <c r="M44" s="99" t="str">
        <f aca="false">IF(OR(K44="",L44=""),"",IF((IF(L44="Alto",3,IF(L44="Médio",2,1))-IF(K44="Alto",3,IF(K44="Médio",2,1)))=2,"⚡ Quick win",IF((IF(L44="Alto",3,IF(L44="Médio",2,1))-IF(K44="Alto",3,IF(K44="Médio",2,1)))=1,"🚀 Alto retorno",IF(AND(L44="Alto",K44="Alto"),"🎯 Estratégica",IF((IF(L44="Alto",3,IF(L44="Médio",2,1))-IF(K44="Alto",3,IF(K44="Médio",2,1)))=0,"⚖ Equilibrada","⏳ Baixo retorno")))))</f>
        <v/>
      </c>
      <c r="N44" s="102"/>
      <c r="O44" s="102"/>
      <c r="P44" s="103"/>
      <c r="Q44" s="102"/>
      <c r="R44" s="104"/>
      <c r="S44" s="102"/>
      <c r="T44" s="104"/>
      <c r="U44" s="102"/>
    </row>
    <row r="45" customFormat="false" ht="15" hidden="false" customHeight="false" outlineLevel="0" collapsed="false">
      <c r="A45" s="93" t="s">
        <v>940</v>
      </c>
      <c r="B45" s="105"/>
      <c r="C45" s="105"/>
      <c r="D45" s="105"/>
      <c r="E45" s="105"/>
      <c r="F45" s="99" t="str">
        <f aca="false">IF(E45="","",IFERROR(INDEX('Fontes e Parcerias'!$C$5:$C$500,MATCH(IFERROR(LEFT(E45,FIND(" · ",E45)-1),E45),'Fontes e Parcerias'!$A$5:$A$500,0)),"Fonte não encontrada"))</f>
        <v/>
      </c>
      <c r="G45" s="106"/>
      <c r="H45" s="105"/>
      <c r="I45" s="105"/>
      <c r="J45" s="118"/>
      <c r="K45" s="106"/>
      <c r="L45" s="106"/>
      <c r="M45" s="99" t="str">
        <f aca="false">IF(OR(K45="",L45=""),"",IF((IF(L45="Alto",3,IF(L45="Médio",2,1))-IF(K45="Alto",3,IF(K45="Médio",2,1)))=2,"⚡ Quick win",IF((IF(L45="Alto",3,IF(L45="Médio",2,1))-IF(K45="Alto",3,IF(K45="Médio",2,1)))=1,"🚀 Alto retorno",IF(AND(L45="Alto",K45="Alto"),"🎯 Estratégica",IF((IF(L45="Alto",3,IF(L45="Médio",2,1))-IF(K45="Alto",3,IF(K45="Médio",2,1)))=0,"⚖ Equilibrada","⏳ Baixo retorno")))))</f>
        <v/>
      </c>
      <c r="N45" s="105"/>
      <c r="O45" s="105"/>
      <c r="P45" s="106"/>
      <c r="Q45" s="105"/>
      <c r="R45" s="107"/>
      <c r="S45" s="105"/>
      <c r="T45" s="107"/>
      <c r="U45" s="105"/>
    </row>
    <row r="46" customFormat="false" ht="15" hidden="false" customHeight="false" outlineLevel="0" collapsed="false">
      <c r="A46" s="101" t="s">
        <v>941</v>
      </c>
      <c r="B46" s="102"/>
      <c r="C46" s="102"/>
      <c r="D46" s="102"/>
      <c r="E46" s="102"/>
      <c r="F46" s="99" t="str">
        <f aca="false">IF(E46="","",IFERROR(INDEX('Fontes e Parcerias'!$C$5:$C$500,MATCH(IFERROR(LEFT(E46,FIND(" · ",E46)-1),E46),'Fontes e Parcerias'!$A$5:$A$500,0)),"Fonte não encontrada"))</f>
        <v/>
      </c>
      <c r="G46" s="103"/>
      <c r="H46" s="102"/>
      <c r="I46" s="102"/>
      <c r="J46" s="117"/>
      <c r="K46" s="103"/>
      <c r="L46" s="103"/>
      <c r="M46" s="99" t="str">
        <f aca="false">IF(OR(K46="",L46=""),"",IF((IF(L46="Alto",3,IF(L46="Médio",2,1))-IF(K46="Alto",3,IF(K46="Médio",2,1)))=2,"⚡ Quick win",IF((IF(L46="Alto",3,IF(L46="Médio",2,1))-IF(K46="Alto",3,IF(K46="Médio",2,1)))=1,"🚀 Alto retorno",IF(AND(L46="Alto",K46="Alto"),"🎯 Estratégica",IF((IF(L46="Alto",3,IF(L46="Médio",2,1))-IF(K46="Alto",3,IF(K46="Médio",2,1)))=0,"⚖ Equilibrada","⏳ Baixo retorno")))))</f>
        <v/>
      </c>
      <c r="N46" s="102"/>
      <c r="O46" s="102"/>
      <c r="P46" s="103"/>
      <c r="Q46" s="102"/>
      <c r="R46" s="104"/>
      <c r="S46" s="102"/>
      <c r="T46" s="104"/>
      <c r="U46" s="102"/>
    </row>
    <row r="47" customFormat="false" ht="15" hidden="false" customHeight="false" outlineLevel="0" collapsed="false">
      <c r="A47" s="93" t="s">
        <v>942</v>
      </c>
      <c r="B47" s="105"/>
      <c r="C47" s="105"/>
      <c r="D47" s="105"/>
      <c r="E47" s="105"/>
      <c r="F47" s="99" t="str">
        <f aca="false">IF(E47="","",IFERROR(INDEX('Fontes e Parcerias'!$C$5:$C$500,MATCH(IFERROR(LEFT(E47,FIND(" · ",E47)-1),E47),'Fontes e Parcerias'!$A$5:$A$500,0)),"Fonte não encontrada"))</f>
        <v/>
      </c>
      <c r="G47" s="106"/>
      <c r="H47" s="105"/>
      <c r="I47" s="105"/>
      <c r="J47" s="118"/>
      <c r="K47" s="106"/>
      <c r="L47" s="106"/>
      <c r="M47" s="99" t="str">
        <f aca="false">IF(OR(K47="",L47=""),"",IF((IF(L47="Alto",3,IF(L47="Médio",2,1))-IF(K47="Alto",3,IF(K47="Médio",2,1)))=2,"⚡ Quick win",IF((IF(L47="Alto",3,IF(L47="Médio",2,1))-IF(K47="Alto",3,IF(K47="Médio",2,1)))=1,"🚀 Alto retorno",IF(AND(L47="Alto",K47="Alto"),"🎯 Estratégica",IF((IF(L47="Alto",3,IF(L47="Médio",2,1))-IF(K47="Alto",3,IF(K47="Médio",2,1)))=0,"⚖ Equilibrada","⏳ Baixo retorno")))))</f>
        <v/>
      </c>
      <c r="N47" s="105"/>
      <c r="O47" s="105"/>
      <c r="P47" s="106"/>
      <c r="Q47" s="105"/>
      <c r="R47" s="107"/>
      <c r="S47" s="105"/>
      <c r="T47" s="107"/>
      <c r="U47" s="105"/>
    </row>
    <row r="48" customFormat="false" ht="15" hidden="false" customHeight="false" outlineLevel="0" collapsed="false">
      <c r="A48" s="101" t="s">
        <v>943</v>
      </c>
      <c r="B48" s="102"/>
      <c r="C48" s="102"/>
      <c r="D48" s="102"/>
      <c r="E48" s="102"/>
      <c r="F48" s="99" t="str">
        <f aca="false">IF(E48="","",IFERROR(INDEX('Fontes e Parcerias'!$C$5:$C$500,MATCH(IFERROR(LEFT(E48,FIND(" · ",E48)-1),E48),'Fontes e Parcerias'!$A$5:$A$500,0)),"Fonte não encontrada"))</f>
        <v/>
      </c>
      <c r="G48" s="103"/>
      <c r="H48" s="102"/>
      <c r="I48" s="102"/>
      <c r="J48" s="117"/>
      <c r="K48" s="103"/>
      <c r="L48" s="103"/>
      <c r="M48" s="99" t="str">
        <f aca="false">IF(OR(K48="",L48=""),"",IF((IF(L48="Alto",3,IF(L48="Médio",2,1))-IF(K48="Alto",3,IF(K48="Médio",2,1)))=2,"⚡ Quick win",IF((IF(L48="Alto",3,IF(L48="Médio",2,1))-IF(K48="Alto",3,IF(K48="Médio",2,1)))=1,"🚀 Alto retorno",IF(AND(L48="Alto",K48="Alto"),"🎯 Estratégica",IF((IF(L48="Alto",3,IF(L48="Médio",2,1))-IF(K48="Alto",3,IF(K48="Médio",2,1)))=0,"⚖ Equilibrada","⏳ Baixo retorno")))))</f>
        <v/>
      </c>
      <c r="N48" s="102"/>
      <c r="O48" s="102"/>
      <c r="P48" s="103"/>
      <c r="Q48" s="102"/>
      <c r="R48" s="104"/>
      <c r="S48" s="102"/>
      <c r="T48" s="104"/>
      <c r="U48" s="102"/>
    </row>
    <row r="49" customFormat="false" ht="15" hidden="false" customHeight="false" outlineLevel="0" collapsed="false">
      <c r="A49" s="93" t="s">
        <v>944</v>
      </c>
      <c r="B49" s="105"/>
      <c r="C49" s="105"/>
      <c r="D49" s="105"/>
      <c r="E49" s="105"/>
      <c r="F49" s="99" t="str">
        <f aca="false">IF(E49="","",IFERROR(INDEX('Fontes e Parcerias'!$C$5:$C$500,MATCH(IFERROR(LEFT(E49,FIND(" · ",E49)-1),E49),'Fontes e Parcerias'!$A$5:$A$500,0)),"Fonte não encontrada"))</f>
        <v/>
      </c>
      <c r="G49" s="106"/>
      <c r="H49" s="105"/>
      <c r="I49" s="105"/>
      <c r="J49" s="118"/>
      <c r="K49" s="106"/>
      <c r="L49" s="106"/>
      <c r="M49" s="99" t="str">
        <f aca="false">IF(OR(K49="",L49=""),"",IF((IF(L49="Alto",3,IF(L49="Médio",2,1))-IF(K49="Alto",3,IF(K49="Médio",2,1)))=2,"⚡ Quick win",IF((IF(L49="Alto",3,IF(L49="Médio",2,1))-IF(K49="Alto",3,IF(K49="Médio",2,1)))=1,"🚀 Alto retorno",IF(AND(L49="Alto",K49="Alto"),"🎯 Estratégica",IF((IF(L49="Alto",3,IF(L49="Médio",2,1))-IF(K49="Alto",3,IF(K49="Médio",2,1)))=0,"⚖ Equilibrada","⏳ Baixo retorno")))))</f>
        <v/>
      </c>
      <c r="N49" s="105"/>
      <c r="O49" s="105"/>
      <c r="P49" s="106"/>
      <c r="Q49" s="105"/>
      <c r="R49" s="107"/>
      <c r="S49" s="105"/>
      <c r="T49" s="107"/>
      <c r="U49" s="105"/>
    </row>
    <row r="50" customFormat="false" ht="15" hidden="false" customHeight="false" outlineLevel="0" collapsed="false">
      <c r="A50" s="101" t="s">
        <v>945</v>
      </c>
      <c r="B50" s="102"/>
      <c r="C50" s="102"/>
      <c r="D50" s="102"/>
      <c r="E50" s="102"/>
      <c r="F50" s="99" t="str">
        <f aca="false">IF(E50="","",IFERROR(INDEX('Fontes e Parcerias'!$C$5:$C$500,MATCH(IFERROR(LEFT(E50,FIND(" · ",E50)-1),E50),'Fontes e Parcerias'!$A$5:$A$500,0)),"Fonte não encontrada"))</f>
        <v/>
      </c>
      <c r="G50" s="103"/>
      <c r="H50" s="102"/>
      <c r="I50" s="102"/>
      <c r="J50" s="117"/>
      <c r="K50" s="103"/>
      <c r="L50" s="103"/>
      <c r="M50" s="99" t="str">
        <f aca="false">IF(OR(K50="",L50=""),"",IF((IF(L50="Alto",3,IF(L50="Médio",2,1))-IF(K50="Alto",3,IF(K50="Médio",2,1)))=2,"⚡ Quick win",IF((IF(L50="Alto",3,IF(L50="Médio",2,1))-IF(K50="Alto",3,IF(K50="Médio",2,1)))=1,"🚀 Alto retorno",IF(AND(L50="Alto",K50="Alto"),"🎯 Estratégica",IF((IF(L50="Alto",3,IF(L50="Médio",2,1))-IF(K50="Alto",3,IF(K50="Médio",2,1)))=0,"⚖ Equilibrada","⏳ Baixo retorno")))))</f>
        <v/>
      </c>
      <c r="N50" s="102"/>
      <c r="O50" s="102"/>
      <c r="P50" s="103"/>
      <c r="Q50" s="102"/>
      <c r="R50" s="104"/>
      <c r="S50" s="102"/>
      <c r="T50" s="104"/>
      <c r="U50" s="102"/>
    </row>
    <row r="51" customFormat="false" ht="15" hidden="false" customHeight="false" outlineLevel="0" collapsed="false">
      <c r="A51" s="93" t="s">
        <v>946</v>
      </c>
      <c r="B51" s="105"/>
      <c r="C51" s="105"/>
      <c r="D51" s="105"/>
      <c r="E51" s="105"/>
      <c r="F51" s="99" t="str">
        <f aca="false">IF(E51="","",IFERROR(INDEX('Fontes e Parcerias'!$C$5:$C$500,MATCH(IFERROR(LEFT(E51,FIND(" · ",E51)-1),E51),'Fontes e Parcerias'!$A$5:$A$500,0)),"Fonte não encontrada"))</f>
        <v/>
      </c>
      <c r="G51" s="106"/>
      <c r="H51" s="105"/>
      <c r="I51" s="105"/>
      <c r="J51" s="118"/>
      <c r="K51" s="106"/>
      <c r="L51" s="106"/>
      <c r="M51" s="99" t="str">
        <f aca="false">IF(OR(K51="",L51=""),"",IF((IF(L51="Alto",3,IF(L51="Médio",2,1))-IF(K51="Alto",3,IF(K51="Médio",2,1)))=2,"⚡ Quick win",IF((IF(L51="Alto",3,IF(L51="Médio",2,1))-IF(K51="Alto",3,IF(K51="Médio",2,1)))=1,"🚀 Alto retorno",IF(AND(L51="Alto",K51="Alto"),"🎯 Estratégica",IF((IF(L51="Alto",3,IF(L51="Médio",2,1))-IF(K51="Alto",3,IF(K51="Médio",2,1)))=0,"⚖ Equilibrada","⏳ Baixo retorno")))))</f>
        <v/>
      </c>
      <c r="N51" s="105"/>
      <c r="O51" s="105"/>
      <c r="P51" s="106"/>
      <c r="Q51" s="105"/>
      <c r="R51" s="107"/>
      <c r="S51" s="105"/>
      <c r="T51" s="107"/>
      <c r="U51" s="105"/>
    </row>
    <row r="52" customFormat="false" ht="15" hidden="false" customHeight="false" outlineLevel="0" collapsed="false">
      <c r="A52" s="101" t="s">
        <v>947</v>
      </c>
      <c r="B52" s="102"/>
      <c r="C52" s="102"/>
      <c r="D52" s="102"/>
      <c r="E52" s="102"/>
      <c r="F52" s="99" t="str">
        <f aca="false">IF(E52="","",IFERROR(INDEX('Fontes e Parcerias'!$C$5:$C$500,MATCH(IFERROR(LEFT(E52,FIND(" · ",E52)-1),E52),'Fontes e Parcerias'!$A$5:$A$500,0)),"Fonte não encontrada"))</f>
        <v/>
      </c>
      <c r="G52" s="103"/>
      <c r="H52" s="102"/>
      <c r="I52" s="102"/>
      <c r="J52" s="117"/>
      <c r="K52" s="103"/>
      <c r="L52" s="103"/>
      <c r="M52" s="99" t="str">
        <f aca="false">IF(OR(K52="",L52=""),"",IF((IF(L52="Alto",3,IF(L52="Médio",2,1))-IF(K52="Alto",3,IF(K52="Médio",2,1)))=2,"⚡ Quick win",IF((IF(L52="Alto",3,IF(L52="Médio",2,1))-IF(K52="Alto",3,IF(K52="Médio",2,1)))=1,"🚀 Alto retorno",IF(AND(L52="Alto",K52="Alto"),"🎯 Estratégica",IF((IF(L52="Alto",3,IF(L52="Médio",2,1))-IF(K52="Alto",3,IF(K52="Médio",2,1)))=0,"⚖ Equilibrada","⏳ Baixo retorno")))))</f>
        <v/>
      </c>
      <c r="N52" s="102"/>
      <c r="O52" s="102"/>
      <c r="P52" s="103"/>
      <c r="Q52" s="102"/>
      <c r="R52" s="104"/>
      <c r="S52" s="102"/>
      <c r="T52" s="104"/>
      <c r="U52" s="102"/>
    </row>
    <row r="53" customFormat="false" ht="15" hidden="false" customHeight="false" outlineLevel="0" collapsed="false">
      <c r="A53" s="93" t="s">
        <v>948</v>
      </c>
      <c r="B53" s="105"/>
      <c r="C53" s="105"/>
      <c r="D53" s="105"/>
      <c r="E53" s="105"/>
      <c r="F53" s="99" t="str">
        <f aca="false">IF(E53="","",IFERROR(INDEX('Fontes e Parcerias'!$C$5:$C$500,MATCH(IFERROR(LEFT(E53,FIND(" · ",E53)-1),E53),'Fontes e Parcerias'!$A$5:$A$500,0)),"Fonte não encontrada"))</f>
        <v/>
      </c>
      <c r="G53" s="106"/>
      <c r="H53" s="105"/>
      <c r="I53" s="105"/>
      <c r="J53" s="118"/>
      <c r="K53" s="106"/>
      <c r="L53" s="106"/>
      <c r="M53" s="99" t="str">
        <f aca="false">IF(OR(K53="",L53=""),"",IF((IF(L53="Alto",3,IF(L53="Médio",2,1))-IF(K53="Alto",3,IF(K53="Médio",2,1)))=2,"⚡ Quick win",IF((IF(L53="Alto",3,IF(L53="Médio",2,1))-IF(K53="Alto",3,IF(K53="Médio",2,1)))=1,"🚀 Alto retorno",IF(AND(L53="Alto",K53="Alto"),"🎯 Estratégica",IF((IF(L53="Alto",3,IF(L53="Médio",2,1))-IF(K53="Alto",3,IF(K53="Médio",2,1)))=0,"⚖ Equilibrada","⏳ Baixo retorno")))))</f>
        <v/>
      </c>
      <c r="N53" s="105"/>
      <c r="O53" s="105"/>
      <c r="P53" s="106"/>
      <c r="Q53" s="105"/>
      <c r="R53" s="107"/>
      <c r="S53" s="105"/>
      <c r="T53" s="107"/>
      <c r="U53" s="105"/>
    </row>
    <row r="54" customFormat="false" ht="15" hidden="false" customHeight="false" outlineLevel="0" collapsed="false">
      <c r="A54" s="101" t="s">
        <v>949</v>
      </c>
      <c r="B54" s="102"/>
      <c r="C54" s="102"/>
      <c r="D54" s="102"/>
      <c r="E54" s="102"/>
      <c r="F54" s="99" t="str">
        <f aca="false">IF(E54="","",IFERROR(INDEX('Fontes e Parcerias'!$C$5:$C$500,MATCH(IFERROR(LEFT(E54,FIND(" · ",E54)-1),E54),'Fontes e Parcerias'!$A$5:$A$500,0)),"Fonte não encontrada"))</f>
        <v/>
      </c>
      <c r="G54" s="103"/>
      <c r="H54" s="102"/>
      <c r="I54" s="102"/>
      <c r="J54" s="117"/>
      <c r="K54" s="103"/>
      <c r="L54" s="103"/>
      <c r="M54" s="99" t="str">
        <f aca="false">IF(OR(K54="",L54=""),"",IF((IF(L54="Alto",3,IF(L54="Médio",2,1))-IF(K54="Alto",3,IF(K54="Médio",2,1)))=2,"⚡ Quick win",IF((IF(L54="Alto",3,IF(L54="Médio",2,1))-IF(K54="Alto",3,IF(K54="Médio",2,1)))=1,"🚀 Alto retorno",IF(AND(L54="Alto",K54="Alto"),"🎯 Estratégica",IF((IF(L54="Alto",3,IF(L54="Médio",2,1))-IF(K54="Alto",3,IF(K54="Médio",2,1)))=0,"⚖ Equilibrada","⏳ Baixo retorno")))))</f>
        <v/>
      </c>
      <c r="N54" s="102"/>
      <c r="O54" s="102"/>
      <c r="P54" s="103"/>
      <c r="Q54" s="102"/>
      <c r="R54" s="104"/>
      <c r="S54" s="102"/>
      <c r="T54" s="104"/>
      <c r="U54" s="102"/>
    </row>
    <row r="55" customFormat="false" ht="15" hidden="false" customHeight="false" outlineLevel="0" collapsed="false">
      <c r="A55" s="93" t="s">
        <v>950</v>
      </c>
      <c r="B55" s="105"/>
      <c r="C55" s="105"/>
      <c r="D55" s="105"/>
      <c r="E55" s="105"/>
      <c r="F55" s="99" t="str">
        <f aca="false">IF(E55="","",IFERROR(INDEX('Fontes e Parcerias'!$C$5:$C$500,MATCH(IFERROR(LEFT(E55,FIND(" · ",E55)-1),E55),'Fontes e Parcerias'!$A$5:$A$500,0)),"Fonte não encontrada"))</f>
        <v/>
      </c>
      <c r="G55" s="106"/>
      <c r="H55" s="105"/>
      <c r="I55" s="105"/>
      <c r="J55" s="118"/>
      <c r="K55" s="106"/>
      <c r="L55" s="106"/>
      <c r="M55" s="99" t="str">
        <f aca="false">IF(OR(K55="",L55=""),"",IF((IF(L55="Alto",3,IF(L55="Médio",2,1))-IF(K55="Alto",3,IF(K55="Médio",2,1)))=2,"⚡ Quick win",IF((IF(L55="Alto",3,IF(L55="Médio",2,1))-IF(K55="Alto",3,IF(K55="Médio",2,1)))=1,"🚀 Alto retorno",IF(AND(L55="Alto",K55="Alto"),"🎯 Estratégica",IF((IF(L55="Alto",3,IF(L55="Médio",2,1))-IF(K55="Alto",3,IF(K55="Médio",2,1)))=0,"⚖ Equilibrada","⏳ Baixo retorno")))))</f>
        <v/>
      </c>
      <c r="N55" s="105"/>
      <c r="O55" s="105"/>
      <c r="P55" s="106"/>
      <c r="Q55" s="105"/>
      <c r="R55" s="107"/>
      <c r="S55" s="105"/>
      <c r="T55" s="107"/>
      <c r="U55" s="105"/>
    </row>
    <row r="56" customFormat="false" ht="15" hidden="false" customHeight="false" outlineLevel="0" collapsed="false">
      <c r="A56" s="101" t="s">
        <v>951</v>
      </c>
      <c r="B56" s="102"/>
      <c r="C56" s="102"/>
      <c r="D56" s="102"/>
      <c r="E56" s="102"/>
      <c r="F56" s="99" t="str">
        <f aca="false">IF(E56="","",IFERROR(INDEX('Fontes e Parcerias'!$C$5:$C$500,MATCH(IFERROR(LEFT(E56,FIND(" · ",E56)-1),E56),'Fontes e Parcerias'!$A$5:$A$500,0)),"Fonte não encontrada"))</f>
        <v/>
      </c>
      <c r="G56" s="103"/>
      <c r="H56" s="102"/>
      <c r="I56" s="102"/>
      <c r="J56" s="117"/>
      <c r="K56" s="103"/>
      <c r="L56" s="103"/>
      <c r="M56" s="99" t="str">
        <f aca="false">IF(OR(K56="",L56=""),"",IF((IF(L56="Alto",3,IF(L56="Médio",2,1))-IF(K56="Alto",3,IF(K56="Médio",2,1)))=2,"⚡ Quick win",IF((IF(L56="Alto",3,IF(L56="Médio",2,1))-IF(K56="Alto",3,IF(K56="Médio",2,1)))=1,"🚀 Alto retorno",IF(AND(L56="Alto",K56="Alto"),"🎯 Estratégica",IF((IF(L56="Alto",3,IF(L56="Médio",2,1))-IF(K56="Alto",3,IF(K56="Médio",2,1)))=0,"⚖ Equilibrada","⏳ Baixo retorno")))))</f>
        <v/>
      </c>
      <c r="N56" s="102"/>
      <c r="O56" s="102"/>
      <c r="P56" s="103"/>
      <c r="Q56" s="102"/>
      <c r="R56" s="104"/>
      <c r="S56" s="102"/>
      <c r="T56" s="104"/>
      <c r="U56" s="102"/>
    </row>
    <row r="57" customFormat="false" ht="15" hidden="false" customHeight="false" outlineLevel="0" collapsed="false">
      <c r="A57" s="93" t="s">
        <v>952</v>
      </c>
      <c r="B57" s="105"/>
      <c r="C57" s="105"/>
      <c r="D57" s="105"/>
      <c r="E57" s="105"/>
      <c r="F57" s="99" t="str">
        <f aca="false">IF(E57="","",IFERROR(INDEX('Fontes e Parcerias'!$C$5:$C$500,MATCH(IFERROR(LEFT(E57,FIND(" · ",E57)-1),E57),'Fontes e Parcerias'!$A$5:$A$500,0)),"Fonte não encontrada"))</f>
        <v/>
      </c>
      <c r="G57" s="106"/>
      <c r="H57" s="105"/>
      <c r="I57" s="105"/>
      <c r="J57" s="118"/>
      <c r="K57" s="106"/>
      <c r="L57" s="106"/>
      <c r="M57" s="99" t="str">
        <f aca="false">IF(OR(K57="",L57=""),"",IF((IF(L57="Alto",3,IF(L57="Médio",2,1))-IF(K57="Alto",3,IF(K57="Médio",2,1)))=2,"⚡ Quick win",IF((IF(L57="Alto",3,IF(L57="Médio",2,1))-IF(K57="Alto",3,IF(K57="Médio",2,1)))=1,"🚀 Alto retorno",IF(AND(L57="Alto",K57="Alto"),"🎯 Estratégica",IF((IF(L57="Alto",3,IF(L57="Médio",2,1))-IF(K57="Alto",3,IF(K57="Médio",2,1)))=0,"⚖ Equilibrada","⏳ Baixo retorno")))))</f>
        <v/>
      </c>
      <c r="N57" s="105"/>
      <c r="O57" s="105"/>
      <c r="P57" s="106"/>
      <c r="Q57" s="105"/>
      <c r="R57" s="107"/>
      <c r="S57" s="105"/>
      <c r="T57" s="107"/>
      <c r="U57" s="105"/>
    </row>
    <row r="58" customFormat="false" ht="15" hidden="false" customHeight="false" outlineLevel="0" collapsed="false">
      <c r="A58" s="101" t="s">
        <v>953</v>
      </c>
      <c r="B58" s="102"/>
      <c r="C58" s="102"/>
      <c r="D58" s="102"/>
      <c r="E58" s="102"/>
      <c r="F58" s="99" t="str">
        <f aca="false">IF(E58="","",IFERROR(INDEX('Fontes e Parcerias'!$C$5:$C$500,MATCH(IFERROR(LEFT(E58,FIND(" · ",E58)-1),E58),'Fontes e Parcerias'!$A$5:$A$500,0)),"Fonte não encontrada"))</f>
        <v/>
      </c>
      <c r="G58" s="103"/>
      <c r="H58" s="102"/>
      <c r="I58" s="102"/>
      <c r="J58" s="117"/>
      <c r="K58" s="103"/>
      <c r="L58" s="103"/>
      <c r="M58" s="99" t="str">
        <f aca="false">IF(OR(K58="",L58=""),"",IF((IF(L58="Alto",3,IF(L58="Médio",2,1))-IF(K58="Alto",3,IF(K58="Médio",2,1)))=2,"⚡ Quick win",IF((IF(L58="Alto",3,IF(L58="Médio",2,1))-IF(K58="Alto",3,IF(K58="Médio",2,1)))=1,"🚀 Alto retorno",IF(AND(L58="Alto",K58="Alto"),"🎯 Estratégica",IF((IF(L58="Alto",3,IF(L58="Médio",2,1))-IF(K58="Alto",3,IF(K58="Médio",2,1)))=0,"⚖ Equilibrada","⏳ Baixo retorno")))))</f>
        <v/>
      </c>
      <c r="N58" s="102"/>
      <c r="O58" s="102"/>
      <c r="P58" s="103"/>
      <c r="Q58" s="102"/>
      <c r="R58" s="104"/>
      <c r="S58" s="102"/>
      <c r="T58" s="104"/>
      <c r="U58" s="102"/>
    </row>
    <row r="59" customFormat="false" ht="15" hidden="false" customHeight="false" outlineLevel="0" collapsed="false">
      <c r="A59" s="93" t="s">
        <v>954</v>
      </c>
      <c r="B59" s="105"/>
      <c r="C59" s="105"/>
      <c r="D59" s="105"/>
      <c r="E59" s="105"/>
      <c r="F59" s="99" t="str">
        <f aca="false">IF(E59="","",IFERROR(INDEX('Fontes e Parcerias'!$C$5:$C$500,MATCH(IFERROR(LEFT(E59,FIND(" · ",E59)-1),E59),'Fontes e Parcerias'!$A$5:$A$500,0)),"Fonte não encontrada"))</f>
        <v/>
      </c>
      <c r="G59" s="106"/>
      <c r="H59" s="105"/>
      <c r="I59" s="105"/>
      <c r="J59" s="118"/>
      <c r="K59" s="106"/>
      <c r="L59" s="106"/>
      <c r="M59" s="99" t="str">
        <f aca="false">IF(OR(K59="",L59=""),"",IF((IF(L59="Alto",3,IF(L59="Médio",2,1))-IF(K59="Alto",3,IF(K59="Médio",2,1)))=2,"⚡ Quick win",IF((IF(L59="Alto",3,IF(L59="Médio",2,1))-IF(K59="Alto",3,IF(K59="Médio",2,1)))=1,"🚀 Alto retorno",IF(AND(L59="Alto",K59="Alto"),"🎯 Estratégica",IF((IF(L59="Alto",3,IF(L59="Médio",2,1))-IF(K59="Alto",3,IF(K59="Médio",2,1)))=0,"⚖ Equilibrada","⏳ Baixo retorno")))))</f>
        <v/>
      </c>
      <c r="N59" s="105"/>
      <c r="O59" s="105"/>
      <c r="P59" s="106"/>
      <c r="Q59" s="105"/>
      <c r="R59" s="107"/>
      <c r="S59" s="105"/>
      <c r="T59" s="107"/>
      <c r="U59" s="105"/>
    </row>
    <row r="60" customFormat="false" ht="15" hidden="false" customHeight="false" outlineLevel="0" collapsed="false">
      <c r="A60" s="101" t="s">
        <v>955</v>
      </c>
      <c r="B60" s="102"/>
      <c r="C60" s="102"/>
      <c r="D60" s="102"/>
      <c r="E60" s="102"/>
      <c r="F60" s="99" t="str">
        <f aca="false">IF(E60="","",IFERROR(INDEX('Fontes e Parcerias'!$C$5:$C$500,MATCH(IFERROR(LEFT(E60,FIND(" · ",E60)-1),E60),'Fontes e Parcerias'!$A$5:$A$500,0)),"Fonte não encontrada"))</f>
        <v/>
      </c>
      <c r="G60" s="103"/>
      <c r="H60" s="102"/>
      <c r="I60" s="102"/>
      <c r="J60" s="117"/>
      <c r="K60" s="103"/>
      <c r="L60" s="103"/>
      <c r="M60" s="99" t="str">
        <f aca="false">IF(OR(K60="",L60=""),"",IF((IF(L60="Alto",3,IF(L60="Médio",2,1))-IF(K60="Alto",3,IF(K60="Médio",2,1)))=2,"⚡ Quick win",IF((IF(L60="Alto",3,IF(L60="Médio",2,1))-IF(K60="Alto",3,IF(K60="Médio",2,1)))=1,"🚀 Alto retorno",IF(AND(L60="Alto",K60="Alto"),"🎯 Estratégica",IF((IF(L60="Alto",3,IF(L60="Médio",2,1))-IF(K60="Alto",3,IF(K60="Médio",2,1)))=0,"⚖ Equilibrada","⏳ Baixo retorno")))))</f>
        <v/>
      </c>
      <c r="N60" s="102"/>
      <c r="O60" s="102"/>
      <c r="P60" s="103"/>
      <c r="Q60" s="102"/>
      <c r="R60" s="104"/>
      <c r="S60" s="102"/>
      <c r="T60" s="104"/>
      <c r="U60" s="102"/>
    </row>
    <row r="61" customFormat="false" ht="15" hidden="false" customHeight="false" outlineLevel="0" collapsed="false">
      <c r="A61" s="93" t="s">
        <v>956</v>
      </c>
      <c r="B61" s="105"/>
      <c r="C61" s="105"/>
      <c r="D61" s="105"/>
      <c r="E61" s="105"/>
      <c r="F61" s="99" t="str">
        <f aca="false">IF(E61="","",IFERROR(INDEX('Fontes e Parcerias'!$C$5:$C$500,MATCH(IFERROR(LEFT(E61,FIND(" · ",E61)-1),E61),'Fontes e Parcerias'!$A$5:$A$500,0)),"Fonte não encontrada"))</f>
        <v/>
      </c>
      <c r="G61" s="106"/>
      <c r="H61" s="105"/>
      <c r="I61" s="105"/>
      <c r="J61" s="118"/>
      <c r="K61" s="106"/>
      <c r="L61" s="106"/>
      <c r="M61" s="99" t="str">
        <f aca="false">IF(OR(K61="",L61=""),"",IF((IF(L61="Alto",3,IF(L61="Médio",2,1))-IF(K61="Alto",3,IF(K61="Médio",2,1)))=2,"⚡ Quick win",IF((IF(L61="Alto",3,IF(L61="Médio",2,1))-IF(K61="Alto",3,IF(K61="Médio",2,1)))=1,"🚀 Alto retorno",IF(AND(L61="Alto",K61="Alto"),"🎯 Estratégica",IF((IF(L61="Alto",3,IF(L61="Médio",2,1))-IF(K61="Alto",3,IF(K61="Médio",2,1)))=0,"⚖ Equilibrada","⏳ Baixo retorno")))))</f>
        <v/>
      </c>
      <c r="N61" s="105"/>
      <c r="O61" s="105"/>
      <c r="P61" s="106"/>
      <c r="Q61" s="105"/>
      <c r="R61" s="107"/>
      <c r="S61" s="105"/>
      <c r="T61" s="107"/>
      <c r="U61" s="105"/>
    </row>
    <row r="62" customFormat="false" ht="15" hidden="false" customHeight="false" outlineLevel="0" collapsed="false">
      <c r="A62" s="101" t="s">
        <v>957</v>
      </c>
      <c r="B62" s="102"/>
      <c r="C62" s="102"/>
      <c r="D62" s="102"/>
      <c r="E62" s="102"/>
      <c r="F62" s="99" t="str">
        <f aca="false">IF(E62="","",IFERROR(INDEX('Fontes e Parcerias'!$C$5:$C$500,MATCH(IFERROR(LEFT(E62,FIND(" · ",E62)-1),E62),'Fontes e Parcerias'!$A$5:$A$500,0)),"Fonte não encontrada"))</f>
        <v/>
      </c>
      <c r="G62" s="103"/>
      <c r="H62" s="102"/>
      <c r="I62" s="102"/>
      <c r="J62" s="117"/>
      <c r="K62" s="103"/>
      <c r="L62" s="103"/>
      <c r="M62" s="99" t="str">
        <f aca="false">IF(OR(K62="",L62=""),"",IF((IF(L62="Alto",3,IF(L62="Médio",2,1))-IF(K62="Alto",3,IF(K62="Médio",2,1)))=2,"⚡ Quick win",IF((IF(L62="Alto",3,IF(L62="Médio",2,1))-IF(K62="Alto",3,IF(K62="Médio",2,1)))=1,"🚀 Alto retorno",IF(AND(L62="Alto",K62="Alto"),"🎯 Estratégica",IF((IF(L62="Alto",3,IF(L62="Médio",2,1))-IF(K62="Alto",3,IF(K62="Médio",2,1)))=0,"⚖ Equilibrada","⏳ Baixo retorno")))))</f>
        <v/>
      </c>
      <c r="N62" s="102"/>
      <c r="O62" s="102"/>
      <c r="P62" s="103"/>
      <c r="Q62" s="102"/>
      <c r="R62" s="104"/>
      <c r="S62" s="102"/>
      <c r="T62" s="104"/>
      <c r="U62" s="102"/>
    </row>
    <row r="63" customFormat="false" ht="15" hidden="false" customHeight="false" outlineLevel="0" collapsed="false">
      <c r="A63" s="93" t="s">
        <v>958</v>
      </c>
      <c r="B63" s="105"/>
      <c r="C63" s="105"/>
      <c r="D63" s="105"/>
      <c r="E63" s="105"/>
      <c r="F63" s="99" t="str">
        <f aca="false">IF(E63="","",IFERROR(INDEX('Fontes e Parcerias'!$C$5:$C$500,MATCH(IFERROR(LEFT(E63,FIND(" · ",E63)-1),E63),'Fontes e Parcerias'!$A$5:$A$500,0)),"Fonte não encontrada"))</f>
        <v/>
      </c>
      <c r="G63" s="106"/>
      <c r="H63" s="105"/>
      <c r="I63" s="105"/>
      <c r="J63" s="118"/>
      <c r="K63" s="106"/>
      <c r="L63" s="106"/>
      <c r="M63" s="99" t="str">
        <f aca="false">IF(OR(K63="",L63=""),"",IF((IF(L63="Alto",3,IF(L63="Médio",2,1))-IF(K63="Alto",3,IF(K63="Médio",2,1)))=2,"⚡ Quick win",IF((IF(L63="Alto",3,IF(L63="Médio",2,1))-IF(K63="Alto",3,IF(K63="Médio",2,1)))=1,"🚀 Alto retorno",IF(AND(L63="Alto",K63="Alto"),"🎯 Estratégica",IF((IF(L63="Alto",3,IF(L63="Médio",2,1))-IF(K63="Alto",3,IF(K63="Médio",2,1)))=0,"⚖ Equilibrada","⏳ Baixo retorno")))))</f>
        <v/>
      </c>
      <c r="N63" s="105"/>
      <c r="O63" s="105"/>
      <c r="P63" s="106"/>
      <c r="Q63" s="105"/>
      <c r="R63" s="107"/>
      <c r="S63" s="105"/>
      <c r="T63" s="107"/>
      <c r="U63" s="105"/>
    </row>
    <row r="64" customFormat="false" ht="15" hidden="false" customHeight="false" outlineLevel="0" collapsed="false">
      <c r="A64" s="101" t="s">
        <v>959</v>
      </c>
      <c r="B64" s="102"/>
      <c r="C64" s="102"/>
      <c r="D64" s="102"/>
      <c r="E64" s="102"/>
      <c r="F64" s="99" t="str">
        <f aca="false">IF(E64="","",IFERROR(INDEX('Fontes e Parcerias'!$C$5:$C$500,MATCH(IFERROR(LEFT(E64,FIND(" · ",E64)-1),E64),'Fontes e Parcerias'!$A$5:$A$500,0)),"Fonte não encontrada"))</f>
        <v/>
      </c>
      <c r="G64" s="103"/>
      <c r="H64" s="102"/>
      <c r="I64" s="102"/>
      <c r="J64" s="117"/>
      <c r="K64" s="103"/>
      <c r="L64" s="103"/>
      <c r="M64" s="99" t="str">
        <f aca="false">IF(OR(K64="",L64=""),"",IF((IF(L64="Alto",3,IF(L64="Médio",2,1))-IF(K64="Alto",3,IF(K64="Médio",2,1)))=2,"⚡ Quick win",IF((IF(L64="Alto",3,IF(L64="Médio",2,1))-IF(K64="Alto",3,IF(K64="Médio",2,1)))=1,"🚀 Alto retorno",IF(AND(L64="Alto",K64="Alto"),"🎯 Estratégica",IF((IF(L64="Alto",3,IF(L64="Médio",2,1))-IF(K64="Alto",3,IF(K64="Médio",2,1)))=0,"⚖ Equilibrada","⏳ Baixo retorno")))))</f>
        <v/>
      </c>
      <c r="N64" s="102"/>
      <c r="O64" s="102"/>
      <c r="P64" s="103"/>
      <c r="Q64" s="102"/>
      <c r="R64" s="104"/>
      <c r="S64" s="102"/>
      <c r="T64" s="104"/>
      <c r="U64" s="102"/>
    </row>
    <row r="65" customFormat="false" ht="15" hidden="false" customHeight="false" outlineLevel="0" collapsed="false">
      <c r="A65" s="93" t="s">
        <v>960</v>
      </c>
      <c r="B65" s="105"/>
      <c r="C65" s="105"/>
      <c r="D65" s="105"/>
      <c r="E65" s="105"/>
      <c r="F65" s="99" t="str">
        <f aca="false">IF(E65="","",IFERROR(INDEX('Fontes e Parcerias'!$C$5:$C$500,MATCH(IFERROR(LEFT(E65,FIND(" · ",E65)-1),E65),'Fontes e Parcerias'!$A$5:$A$500,0)),"Fonte não encontrada"))</f>
        <v/>
      </c>
      <c r="G65" s="106"/>
      <c r="H65" s="105"/>
      <c r="I65" s="105"/>
      <c r="J65" s="118"/>
      <c r="K65" s="106"/>
      <c r="L65" s="106"/>
      <c r="M65" s="99" t="str">
        <f aca="false">IF(OR(K65="",L65=""),"",IF((IF(L65="Alto",3,IF(L65="Médio",2,1))-IF(K65="Alto",3,IF(K65="Médio",2,1)))=2,"⚡ Quick win",IF((IF(L65="Alto",3,IF(L65="Médio",2,1))-IF(K65="Alto",3,IF(K65="Médio",2,1)))=1,"🚀 Alto retorno",IF(AND(L65="Alto",K65="Alto"),"🎯 Estratégica",IF((IF(L65="Alto",3,IF(L65="Médio",2,1))-IF(K65="Alto",3,IF(K65="Médio",2,1)))=0,"⚖ Equilibrada","⏳ Baixo retorno")))))</f>
        <v/>
      </c>
      <c r="N65" s="105"/>
      <c r="O65" s="105"/>
      <c r="P65" s="106"/>
      <c r="Q65" s="105"/>
      <c r="R65" s="107"/>
      <c r="S65" s="105"/>
      <c r="T65" s="107"/>
      <c r="U65" s="105"/>
    </row>
    <row r="66" customFormat="false" ht="15" hidden="false" customHeight="false" outlineLevel="0" collapsed="false">
      <c r="A66" s="101" t="s">
        <v>961</v>
      </c>
      <c r="B66" s="102"/>
      <c r="C66" s="102"/>
      <c r="D66" s="102"/>
      <c r="E66" s="102"/>
      <c r="F66" s="99" t="str">
        <f aca="false">IF(E66="","",IFERROR(INDEX('Fontes e Parcerias'!$C$5:$C$500,MATCH(IFERROR(LEFT(E66,FIND(" · ",E66)-1),E66),'Fontes e Parcerias'!$A$5:$A$500,0)),"Fonte não encontrada"))</f>
        <v/>
      </c>
      <c r="G66" s="103"/>
      <c r="H66" s="102"/>
      <c r="I66" s="102"/>
      <c r="J66" s="117"/>
      <c r="K66" s="103"/>
      <c r="L66" s="103"/>
      <c r="M66" s="99" t="str">
        <f aca="false">IF(OR(K66="",L66=""),"",IF((IF(L66="Alto",3,IF(L66="Médio",2,1))-IF(K66="Alto",3,IF(K66="Médio",2,1)))=2,"⚡ Quick win",IF((IF(L66="Alto",3,IF(L66="Médio",2,1))-IF(K66="Alto",3,IF(K66="Médio",2,1)))=1,"🚀 Alto retorno",IF(AND(L66="Alto",K66="Alto"),"🎯 Estratégica",IF((IF(L66="Alto",3,IF(L66="Médio",2,1))-IF(K66="Alto",3,IF(K66="Médio",2,1)))=0,"⚖ Equilibrada","⏳ Baixo retorno")))))</f>
        <v/>
      </c>
      <c r="N66" s="102"/>
      <c r="O66" s="102"/>
      <c r="P66" s="103"/>
      <c r="Q66" s="102"/>
      <c r="R66" s="104"/>
      <c r="S66" s="102"/>
      <c r="T66" s="104"/>
      <c r="U66" s="102"/>
    </row>
    <row r="67" customFormat="false" ht="15" hidden="false" customHeight="false" outlineLevel="0" collapsed="false">
      <c r="A67" s="93" t="s">
        <v>962</v>
      </c>
      <c r="B67" s="105"/>
      <c r="C67" s="105"/>
      <c r="D67" s="105"/>
      <c r="E67" s="105"/>
      <c r="F67" s="99" t="str">
        <f aca="false">IF(E67="","",IFERROR(INDEX('Fontes e Parcerias'!$C$5:$C$500,MATCH(IFERROR(LEFT(E67,FIND(" · ",E67)-1),E67),'Fontes e Parcerias'!$A$5:$A$500,0)),"Fonte não encontrada"))</f>
        <v/>
      </c>
      <c r="G67" s="106"/>
      <c r="H67" s="105"/>
      <c r="I67" s="105"/>
      <c r="J67" s="118"/>
      <c r="K67" s="106"/>
      <c r="L67" s="106"/>
      <c r="M67" s="99" t="str">
        <f aca="false">IF(OR(K67="",L67=""),"",IF((IF(L67="Alto",3,IF(L67="Médio",2,1))-IF(K67="Alto",3,IF(K67="Médio",2,1)))=2,"⚡ Quick win",IF((IF(L67="Alto",3,IF(L67="Médio",2,1))-IF(K67="Alto",3,IF(K67="Médio",2,1)))=1,"🚀 Alto retorno",IF(AND(L67="Alto",K67="Alto"),"🎯 Estratégica",IF((IF(L67="Alto",3,IF(L67="Médio",2,1))-IF(K67="Alto",3,IF(K67="Médio",2,1)))=0,"⚖ Equilibrada","⏳ Baixo retorno")))))</f>
        <v/>
      </c>
      <c r="N67" s="105"/>
      <c r="O67" s="105"/>
      <c r="P67" s="106"/>
      <c r="Q67" s="105"/>
      <c r="R67" s="107"/>
      <c r="S67" s="105"/>
      <c r="T67" s="107"/>
      <c r="U67" s="105"/>
    </row>
    <row r="68" customFormat="false" ht="15" hidden="false" customHeight="false" outlineLevel="0" collapsed="false">
      <c r="A68" s="101" t="s">
        <v>963</v>
      </c>
      <c r="B68" s="102"/>
      <c r="C68" s="102"/>
      <c r="D68" s="102"/>
      <c r="E68" s="102"/>
      <c r="F68" s="99" t="str">
        <f aca="false">IF(E68="","",IFERROR(INDEX('Fontes e Parcerias'!$C$5:$C$500,MATCH(IFERROR(LEFT(E68,FIND(" · ",E68)-1),E68),'Fontes e Parcerias'!$A$5:$A$500,0)),"Fonte não encontrada"))</f>
        <v/>
      </c>
      <c r="G68" s="103"/>
      <c r="H68" s="102"/>
      <c r="I68" s="102"/>
      <c r="J68" s="117"/>
      <c r="K68" s="103"/>
      <c r="L68" s="103"/>
      <c r="M68" s="99" t="str">
        <f aca="false">IF(OR(K68="",L68=""),"",IF((IF(L68="Alto",3,IF(L68="Médio",2,1))-IF(K68="Alto",3,IF(K68="Médio",2,1)))=2,"⚡ Quick win",IF((IF(L68="Alto",3,IF(L68="Médio",2,1))-IF(K68="Alto",3,IF(K68="Médio",2,1)))=1,"🚀 Alto retorno",IF(AND(L68="Alto",K68="Alto"),"🎯 Estratégica",IF((IF(L68="Alto",3,IF(L68="Médio",2,1))-IF(K68="Alto",3,IF(K68="Médio",2,1)))=0,"⚖ Equilibrada","⏳ Baixo retorno")))))</f>
        <v/>
      </c>
      <c r="N68" s="102"/>
      <c r="O68" s="102"/>
      <c r="P68" s="103"/>
      <c r="Q68" s="102"/>
      <c r="R68" s="104"/>
      <c r="S68" s="102"/>
      <c r="T68" s="104"/>
      <c r="U68" s="102"/>
    </row>
    <row r="69" customFormat="false" ht="15" hidden="false" customHeight="false" outlineLevel="0" collapsed="false">
      <c r="A69" s="93" t="s">
        <v>964</v>
      </c>
      <c r="B69" s="105"/>
      <c r="C69" s="105"/>
      <c r="D69" s="105"/>
      <c r="E69" s="105"/>
      <c r="F69" s="99" t="str">
        <f aca="false">IF(E69="","",IFERROR(INDEX('Fontes e Parcerias'!$C$5:$C$500,MATCH(IFERROR(LEFT(E69,FIND(" · ",E69)-1),E69),'Fontes e Parcerias'!$A$5:$A$500,0)),"Fonte não encontrada"))</f>
        <v/>
      </c>
      <c r="G69" s="106"/>
      <c r="H69" s="105"/>
      <c r="I69" s="105"/>
      <c r="J69" s="118"/>
      <c r="K69" s="106"/>
      <c r="L69" s="106"/>
      <c r="M69" s="99" t="str">
        <f aca="false">IF(OR(K69="",L69=""),"",IF((IF(L69="Alto",3,IF(L69="Médio",2,1))-IF(K69="Alto",3,IF(K69="Médio",2,1)))=2,"⚡ Quick win",IF((IF(L69="Alto",3,IF(L69="Médio",2,1))-IF(K69="Alto",3,IF(K69="Médio",2,1)))=1,"🚀 Alto retorno",IF(AND(L69="Alto",K69="Alto"),"🎯 Estratégica",IF((IF(L69="Alto",3,IF(L69="Médio",2,1))-IF(K69="Alto",3,IF(K69="Médio",2,1)))=0,"⚖ Equilibrada","⏳ Baixo retorno")))))</f>
        <v/>
      </c>
      <c r="N69" s="105"/>
      <c r="O69" s="105"/>
      <c r="P69" s="106"/>
      <c r="Q69" s="105"/>
      <c r="R69" s="107"/>
      <c r="S69" s="105"/>
      <c r="T69" s="107"/>
      <c r="U69" s="105"/>
    </row>
    <row r="70" customFormat="false" ht="15" hidden="false" customHeight="false" outlineLevel="0" collapsed="false">
      <c r="A70" s="101" t="s">
        <v>965</v>
      </c>
      <c r="B70" s="102"/>
      <c r="C70" s="102"/>
      <c r="D70" s="102"/>
      <c r="E70" s="102"/>
      <c r="F70" s="99" t="str">
        <f aca="false">IF(E70="","",IFERROR(INDEX('Fontes e Parcerias'!$C$5:$C$500,MATCH(IFERROR(LEFT(E70,FIND(" · ",E70)-1),E70),'Fontes e Parcerias'!$A$5:$A$500,0)),"Fonte não encontrada"))</f>
        <v/>
      </c>
      <c r="G70" s="103"/>
      <c r="H70" s="102"/>
      <c r="I70" s="102"/>
      <c r="J70" s="117"/>
      <c r="K70" s="103"/>
      <c r="L70" s="103"/>
      <c r="M70" s="99" t="str">
        <f aca="false">IF(OR(K70="",L70=""),"",IF((IF(L70="Alto",3,IF(L70="Médio",2,1))-IF(K70="Alto",3,IF(K70="Médio",2,1)))=2,"⚡ Quick win",IF((IF(L70="Alto",3,IF(L70="Médio",2,1))-IF(K70="Alto",3,IF(K70="Médio",2,1)))=1,"🚀 Alto retorno",IF(AND(L70="Alto",K70="Alto"),"🎯 Estratégica",IF((IF(L70="Alto",3,IF(L70="Médio",2,1))-IF(K70="Alto",3,IF(K70="Médio",2,1)))=0,"⚖ Equilibrada","⏳ Baixo retorno")))))</f>
        <v/>
      </c>
      <c r="N70" s="102"/>
      <c r="O70" s="102"/>
      <c r="P70" s="103"/>
      <c r="Q70" s="102"/>
      <c r="R70" s="104"/>
      <c r="S70" s="102"/>
      <c r="T70" s="104"/>
      <c r="U70" s="102"/>
    </row>
    <row r="71" customFormat="false" ht="15" hidden="false" customHeight="false" outlineLevel="0" collapsed="false">
      <c r="A71" s="93" t="s">
        <v>966</v>
      </c>
      <c r="B71" s="105"/>
      <c r="C71" s="105"/>
      <c r="D71" s="105"/>
      <c r="E71" s="105"/>
      <c r="F71" s="99" t="str">
        <f aca="false">IF(E71="","",IFERROR(INDEX('Fontes e Parcerias'!$C$5:$C$500,MATCH(IFERROR(LEFT(E71,FIND(" · ",E71)-1),E71),'Fontes e Parcerias'!$A$5:$A$500,0)),"Fonte não encontrada"))</f>
        <v/>
      </c>
      <c r="G71" s="106"/>
      <c r="H71" s="105"/>
      <c r="I71" s="105"/>
      <c r="J71" s="118"/>
      <c r="K71" s="106"/>
      <c r="L71" s="106"/>
      <c r="M71" s="99" t="str">
        <f aca="false">IF(OR(K71="",L71=""),"",IF((IF(L71="Alto",3,IF(L71="Médio",2,1))-IF(K71="Alto",3,IF(K71="Médio",2,1)))=2,"⚡ Quick win",IF((IF(L71="Alto",3,IF(L71="Médio",2,1))-IF(K71="Alto",3,IF(K71="Médio",2,1)))=1,"🚀 Alto retorno",IF(AND(L71="Alto",K71="Alto"),"🎯 Estratégica",IF((IF(L71="Alto",3,IF(L71="Médio",2,1))-IF(K71="Alto",3,IF(K71="Médio",2,1)))=0,"⚖ Equilibrada","⏳ Baixo retorno")))))</f>
        <v/>
      </c>
      <c r="N71" s="105"/>
      <c r="O71" s="105"/>
      <c r="P71" s="106"/>
      <c r="Q71" s="105"/>
      <c r="R71" s="107"/>
      <c r="S71" s="105"/>
      <c r="T71" s="107"/>
      <c r="U71" s="105"/>
    </row>
    <row r="72" customFormat="false" ht="15" hidden="false" customHeight="false" outlineLevel="0" collapsed="false">
      <c r="A72" s="101" t="s">
        <v>967</v>
      </c>
      <c r="B72" s="102"/>
      <c r="C72" s="102"/>
      <c r="D72" s="102"/>
      <c r="E72" s="102"/>
      <c r="F72" s="99" t="str">
        <f aca="false">IF(E72="","",IFERROR(INDEX('Fontes e Parcerias'!$C$5:$C$500,MATCH(IFERROR(LEFT(E72,FIND(" · ",E72)-1),E72),'Fontes e Parcerias'!$A$5:$A$500,0)),"Fonte não encontrada"))</f>
        <v/>
      </c>
      <c r="G72" s="103"/>
      <c r="H72" s="102"/>
      <c r="I72" s="102"/>
      <c r="J72" s="117"/>
      <c r="K72" s="103"/>
      <c r="L72" s="103"/>
      <c r="M72" s="99" t="str">
        <f aca="false">IF(OR(K72="",L72=""),"",IF((IF(L72="Alto",3,IF(L72="Médio",2,1))-IF(K72="Alto",3,IF(K72="Médio",2,1)))=2,"⚡ Quick win",IF((IF(L72="Alto",3,IF(L72="Médio",2,1))-IF(K72="Alto",3,IF(K72="Médio",2,1)))=1,"🚀 Alto retorno",IF(AND(L72="Alto",K72="Alto"),"🎯 Estratégica",IF((IF(L72="Alto",3,IF(L72="Médio",2,1))-IF(K72="Alto",3,IF(K72="Médio",2,1)))=0,"⚖ Equilibrada","⏳ Baixo retorno")))))</f>
        <v/>
      </c>
      <c r="N72" s="102"/>
      <c r="O72" s="102"/>
      <c r="P72" s="103"/>
      <c r="Q72" s="102"/>
      <c r="R72" s="104"/>
      <c r="S72" s="102"/>
      <c r="T72" s="104"/>
      <c r="U72" s="102"/>
    </row>
    <row r="73" customFormat="false" ht="15" hidden="false" customHeight="false" outlineLevel="0" collapsed="false">
      <c r="A73" s="93" t="s">
        <v>968</v>
      </c>
      <c r="B73" s="105"/>
      <c r="C73" s="105"/>
      <c r="D73" s="105"/>
      <c r="E73" s="105"/>
      <c r="F73" s="99" t="str">
        <f aca="false">IF(E73="","",IFERROR(INDEX('Fontes e Parcerias'!$C$5:$C$500,MATCH(IFERROR(LEFT(E73,FIND(" · ",E73)-1),E73),'Fontes e Parcerias'!$A$5:$A$500,0)),"Fonte não encontrada"))</f>
        <v/>
      </c>
      <c r="G73" s="106"/>
      <c r="H73" s="105"/>
      <c r="I73" s="105"/>
      <c r="J73" s="118"/>
      <c r="K73" s="106"/>
      <c r="L73" s="106"/>
      <c r="M73" s="99" t="str">
        <f aca="false">IF(OR(K73="",L73=""),"",IF((IF(L73="Alto",3,IF(L73="Médio",2,1))-IF(K73="Alto",3,IF(K73="Médio",2,1)))=2,"⚡ Quick win",IF((IF(L73="Alto",3,IF(L73="Médio",2,1))-IF(K73="Alto",3,IF(K73="Médio",2,1)))=1,"🚀 Alto retorno",IF(AND(L73="Alto",K73="Alto"),"🎯 Estratégica",IF((IF(L73="Alto",3,IF(L73="Médio",2,1))-IF(K73="Alto",3,IF(K73="Médio",2,1)))=0,"⚖ Equilibrada","⏳ Baixo retorno")))))</f>
        <v/>
      </c>
      <c r="N73" s="105"/>
      <c r="O73" s="105"/>
      <c r="P73" s="106"/>
      <c r="Q73" s="105"/>
      <c r="R73" s="107"/>
      <c r="S73" s="105"/>
      <c r="T73" s="107"/>
      <c r="U73" s="105"/>
    </row>
    <row r="74" customFormat="false" ht="15" hidden="false" customHeight="false" outlineLevel="0" collapsed="false">
      <c r="A74" s="101" t="s">
        <v>969</v>
      </c>
      <c r="B74" s="102"/>
      <c r="C74" s="102"/>
      <c r="D74" s="102"/>
      <c r="E74" s="102"/>
      <c r="F74" s="99" t="str">
        <f aca="false">IF(E74="","",IFERROR(INDEX('Fontes e Parcerias'!$C$5:$C$500,MATCH(IFERROR(LEFT(E74,FIND(" · ",E74)-1),E74),'Fontes e Parcerias'!$A$5:$A$500,0)),"Fonte não encontrada"))</f>
        <v/>
      </c>
      <c r="G74" s="103"/>
      <c r="H74" s="102"/>
      <c r="I74" s="102"/>
      <c r="J74" s="117"/>
      <c r="K74" s="103"/>
      <c r="L74" s="103"/>
      <c r="M74" s="99" t="str">
        <f aca="false">IF(OR(K74="",L74=""),"",IF((IF(L74="Alto",3,IF(L74="Médio",2,1))-IF(K74="Alto",3,IF(K74="Médio",2,1)))=2,"⚡ Quick win",IF((IF(L74="Alto",3,IF(L74="Médio",2,1))-IF(K74="Alto",3,IF(K74="Médio",2,1)))=1,"🚀 Alto retorno",IF(AND(L74="Alto",K74="Alto"),"🎯 Estratégica",IF((IF(L74="Alto",3,IF(L74="Médio",2,1))-IF(K74="Alto",3,IF(K74="Médio",2,1)))=0,"⚖ Equilibrada","⏳ Baixo retorno")))))</f>
        <v/>
      </c>
      <c r="N74" s="102"/>
      <c r="O74" s="102"/>
      <c r="P74" s="103"/>
      <c r="Q74" s="102"/>
      <c r="R74" s="104"/>
      <c r="S74" s="102"/>
      <c r="T74" s="104"/>
      <c r="U74" s="102"/>
    </row>
    <row r="75" customFormat="false" ht="15" hidden="false" customHeight="false" outlineLevel="0" collapsed="false">
      <c r="A75" s="93" t="s">
        <v>970</v>
      </c>
      <c r="B75" s="105"/>
      <c r="C75" s="105"/>
      <c r="D75" s="105"/>
      <c r="E75" s="105"/>
      <c r="F75" s="99" t="str">
        <f aca="false">IF(E75="","",IFERROR(INDEX('Fontes e Parcerias'!$C$5:$C$500,MATCH(IFERROR(LEFT(E75,FIND(" · ",E75)-1),E75),'Fontes e Parcerias'!$A$5:$A$500,0)),"Fonte não encontrada"))</f>
        <v/>
      </c>
      <c r="G75" s="106"/>
      <c r="H75" s="105"/>
      <c r="I75" s="105"/>
      <c r="J75" s="118"/>
      <c r="K75" s="106"/>
      <c r="L75" s="106"/>
      <c r="M75" s="99" t="str">
        <f aca="false">IF(OR(K75="",L75=""),"",IF((IF(L75="Alto",3,IF(L75="Médio",2,1))-IF(K75="Alto",3,IF(K75="Médio",2,1)))=2,"⚡ Quick win",IF((IF(L75="Alto",3,IF(L75="Médio",2,1))-IF(K75="Alto",3,IF(K75="Médio",2,1)))=1,"🚀 Alto retorno",IF(AND(L75="Alto",K75="Alto"),"🎯 Estratégica",IF((IF(L75="Alto",3,IF(L75="Médio",2,1))-IF(K75="Alto",3,IF(K75="Médio",2,1)))=0,"⚖ Equilibrada","⏳ Baixo retorno")))))</f>
        <v/>
      </c>
      <c r="N75" s="105"/>
      <c r="O75" s="105"/>
      <c r="P75" s="106"/>
      <c r="Q75" s="105"/>
      <c r="R75" s="107"/>
      <c r="S75" s="105"/>
      <c r="T75" s="107"/>
      <c r="U75" s="105"/>
    </row>
    <row r="76" customFormat="false" ht="15" hidden="false" customHeight="false" outlineLevel="0" collapsed="false">
      <c r="A76" s="101" t="s">
        <v>971</v>
      </c>
      <c r="B76" s="102"/>
      <c r="C76" s="102"/>
      <c r="D76" s="102"/>
      <c r="E76" s="102"/>
      <c r="F76" s="99" t="str">
        <f aca="false">IF(E76="","",IFERROR(INDEX('Fontes e Parcerias'!$C$5:$C$500,MATCH(IFERROR(LEFT(E76,FIND(" · ",E76)-1),E76),'Fontes e Parcerias'!$A$5:$A$500,0)),"Fonte não encontrada"))</f>
        <v/>
      </c>
      <c r="G76" s="103"/>
      <c r="H76" s="102"/>
      <c r="I76" s="102"/>
      <c r="J76" s="117"/>
      <c r="K76" s="103"/>
      <c r="L76" s="103"/>
      <c r="M76" s="99" t="str">
        <f aca="false">IF(OR(K76="",L76=""),"",IF((IF(L76="Alto",3,IF(L76="Médio",2,1))-IF(K76="Alto",3,IF(K76="Médio",2,1)))=2,"⚡ Quick win",IF((IF(L76="Alto",3,IF(L76="Médio",2,1))-IF(K76="Alto",3,IF(K76="Médio",2,1)))=1,"🚀 Alto retorno",IF(AND(L76="Alto",K76="Alto"),"🎯 Estratégica",IF((IF(L76="Alto",3,IF(L76="Médio",2,1))-IF(K76="Alto",3,IF(K76="Médio",2,1)))=0,"⚖ Equilibrada","⏳ Baixo retorno")))))</f>
        <v/>
      </c>
      <c r="N76" s="102"/>
      <c r="O76" s="102"/>
      <c r="P76" s="103"/>
      <c r="Q76" s="102"/>
      <c r="R76" s="104"/>
      <c r="S76" s="102"/>
      <c r="T76" s="104"/>
      <c r="U76" s="102"/>
    </row>
    <row r="77" customFormat="false" ht="15" hidden="false" customHeight="false" outlineLevel="0" collapsed="false">
      <c r="A77" s="93" t="s">
        <v>972</v>
      </c>
      <c r="B77" s="105"/>
      <c r="C77" s="105"/>
      <c r="D77" s="105"/>
      <c r="E77" s="105"/>
      <c r="F77" s="99" t="str">
        <f aca="false">IF(E77="","",IFERROR(INDEX('Fontes e Parcerias'!$C$5:$C$500,MATCH(IFERROR(LEFT(E77,FIND(" · ",E77)-1),E77),'Fontes e Parcerias'!$A$5:$A$500,0)),"Fonte não encontrada"))</f>
        <v/>
      </c>
      <c r="G77" s="106"/>
      <c r="H77" s="105"/>
      <c r="I77" s="105"/>
      <c r="J77" s="118"/>
      <c r="K77" s="106"/>
      <c r="L77" s="106"/>
      <c r="M77" s="99" t="str">
        <f aca="false">IF(OR(K77="",L77=""),"",IF((IF(L77="Alto",3,IF(L77="Médio",2,1))-IF(K77="Alto",3,IF(K77="Médio",2,1)))=2,"⚡ Quick win",IF((IF(L77="Alto",3,IF(L77="Médio",2,1))-IF(K77="Alto",3,IF(K77="Médio",2,1)))=1,"🚀 Alto retorno",IF(AND(L77="Alto",K77="Alto"),"🎯 Estratégica",IF((IF(L77="Alto",3,IF(L77="Médio",2,1))-IF(K77="Alto",3,IF(K77="Médio",2,1)))=0,"⚖ Equilibrada","⏳ Baixo retorno")))))</f>
        <v/>
      </c>
      <c r="N77" s="105"/>
      <c r="O77" s="105"/>
      <c r="P77" s="106"/>
      <c r="Q77" s="105"/>
      <c r="R77" s="107"/>
      <c r="S77" s="105"/>
      <c r="T77" s="107"/>
      <c r="U77" s="105"/>
    </row>
    <row r="78" customFormat="false" ht="15" hidden="false" customHeight="false" outlineLevel="0" collapsed="false">
      <c r="A78" s="101" t="s">
        <v>973</v>
      </c>
      <c r="B78" s="102"/>
      <c r="C78" s="102"/>
      <c r="D78" s="102"/>
      <c r="E78" s="102"/>
      <c r="F78" s="99" t="str">
        <f aca="false">IF(E78="","",IFERROR(INDEX('Fontes e Parcerias'!$C$5:$C$500,MATCH(IFERROR(LEFT(E78,FIND(" · ",E78)-1),E78),'Fontes e Parcerias'!$A$5:$A$500,0)),"Fonte não encontrada"))</f>
        <v/>
      </c>
      <c r="G78" s="103"/>
      <c r="H78" s="102"/>
      <c r="I78" s="102"/>
      <c r="J78" s="117"/>
      <c r="K78" s="103"/>
      <c r="L78" s="103"/>
      <c r="M78" s="99" t="str">
        <f aca="false">IF(OR(K78="",L78=""),"",IF((IF(L78="Alto",3,IF(L78="Médio",2,1))-IF(K78="Alto",3,IF(K78="Médio",2,1)))=2,"⚡ Quick win",IF((IF(L78="Alto",3,IF(L78="Médio",2,1))-IF(K78="Alto",3,IF(K78="Médio",2,1)))=1,"🚀 Alto retorno",IF(AND(L78="Alto",K78="Alto"),"🎯 Estratégica",IF((IF(L78="Alto",3,IF(L78="Médio",2,1))-IF(K78="Alto",3,IF(K78="Médio",2,1)))=0,"⚖ Equilibrada","⏳ Baixo retorno")))))</f>
        <v/>
      </c>
      <c r="N78" s="102"/>
      <c r="O78" s="102"/>
      <c r="P78" s="103"/>
      <c r="Q78" s="102"/>
      <c r="R78" s="104"/>
      <c r="S78" s="102"/>
      <c r="T78" s="104"/>
      <c r="U78" s="102"/>
    </row>
    <row r="79" customFormat="false" ht="15" hidden="false" customHeight="false" outlineLevel="0" collapsed="false">
      <c r="A79" s="93" t="s">
        <v>974</v>
      </c>
      <c r="B79" s="105"/>
      <c r="C79" s="105"/>
      <c r="D79" s="105"/>
      <c r="E79" s="105"/>
      <c r="F79" s="99" t="str">
        <f aca="false">IF(E79="","",IFERROR(INDEX('Fontes e Parcerias'!$C$5:$C$500,MATCH(IFERROR(LEFT(E79,FIND(" · ",E79)-1),E79),'Fontes e Parcerias'!$A$5:$A$500,0)),"Fonte não encontrada"))</f>
        <v/>
      </c>
      <c r="G79" s="106"/>
      <c r="H79" s="105"/>
      <c r="I79" s="105"/>
      <c r="J79" s="118"/>
      <c r="K79" s="106"/>
      <c r="L79" s="106"/>
      <c r="M79" s="99" t="str">
        <f aca="false">IF(OR(K79="",L79=""),"",IF((IF(L79="Alto",3,IF(L79="Médio",2,1))-IF(K79="Alto",3,IF(K79="Médio",2,1)))=2,"⚡ Quick win",IF((IF(L79="Alto",3,IF(L79="Médio",2,1))-IF(K79="Alto",3,IF(K79="Médio",2,1)))=1,"🚀 Alto retorno",IF(AND(L79="Alto",K79="Alto"),"🎯 Estratégica",IF((IF(L79="Alto",3,IF(L79="Médio",2,1))-IF(K79="Alto",3,IF(K79="Médio",2,1)))=0,"⚖ Equilibrada","⏳ Baixo retorno")))))</f>
        <v/>
      </c>
      <c r="N79" s="105"/>
      <c r="O79" s="105"/>
      <c r="P79" s="106"/>
      <c r="Q79" s="105"/>
      <c r="R79" s="107"/>
      <c r="S79" s="105"/>
      <c r="T79" s="107"/>
      <c r="U79" s="105"/>
    </row>
    <row r="80" customFormat="false" ht="15" hidden="false" customHeight="false" outlineLevel="0" collapsed="false">
      <c r="A80" s="101" t="s">
        <v>975</v>
      </c>
      <c r="B80" s="102"/>
      <c r="C80" s="102"/>
      <c r="D80" s="102"/>
      <c r="E80" s="102"/>
      <c r="F80" s="99" t="str">
        <f aca="false">IF(E80="","",IFERROR(INDEX('Fontes e Parcerias'!$C$5:$C$500,MATCH(IFERROR(LEFT(E80,FIND(" · ",E80)-1),E80),'Fontes e Parcerias'!$A$5:$A$500,0)),"Fonte não encontrada"))</f>
        <v/>
      </c>
      <c r="G80" s="103"/>
      <c r="H80" s="102"/>
      <c r="I80" s="102"/>
      <c r="J80" s="117"/>
      <c r="K80" s="103"/>
      <c r="L80" s="103"/>
      <c r="M80" s="99" t="str">
        <f aca="false">IF(OR(K80="",L80=""),"",IF((IF(L80="Alto",3,IF(L80="Médio",2,1))-IF(K80="Alto",3,IF(K80="Médio",2,1)))=2,"⚡ Quick win",IF((IF(L80="Alto",3,IF(L80="Médio",2,1))-IF(K80="Alto",3,IF(K80="Médio",2,1)))=1,"🚀 Alto retorno",IF(AND(L80="Alto",K80="Alto"),"🎯 Estratégica",IF((IF(L80="Alto",3,IF(L80="Médio",2,1))-IF(K80="Alto",3,IF(K80="Médio",2,1)))=0,"⚖ Equilibrada","⏳ Baixo retorno")))))</f>
        <v/>
      </c>
      <c r="N80" s="102"/>
      <c r="O80" s="102"/>
      <c r="P80" s="103"/>
      <c r="Q80" s="102"/>
      <c r="R80" s="104"/>
      <c r="S80" s="102"/>
      <c r="T80" s="104"/>
      <c r="U80" s="102"/>
    </row>
    <row r="81" customFormat="false" ht="15" hidden="false" customHeight="false" outlineLevel="0" collapsed="false">
      <c r="A81" s="93" t="s">
        <v>976</v>
      </c>
      <c r="B81" s="105"/>
      <c r="C81" s="105"/>
      <c r="D81" s="105"/>
      <c r="E81" s="105"/>
      <c r="F81" s="99" t="str">
        <f aca="false">IF(E81="","",IFERROR(INDEX('Fontes e Parcerias'!$C$5:$C$500,MATCH(IFERROR(LEFT(E81,FIND(" · ",E81)-1),E81),'Fontes e Parcerias'!$A$5:$A$500,0)),"Fonte não encontrada"))</f>
        <v/>
      </c>
      <c r="G81" s="106"/>
      <c r="H81" s="105"/>
      <c r="I81" s="105"/>
      <c r="J81" s="118"/>
      <c r="K81" s="106"/>
      <c r="L81" s="106"/>
      <c r="M81" s="99" t="str">
        <f aca="false">IF(OR(K81="",L81=""),"",IF((IF(L81="Alto",3,IF(L81="Médio",2,1))-IF(K81="Alto",3,IF(K81="Médio",2,1)))=2,"⚡ Quick win",IF((IF(L81="Alto",3,IF(L81="Médio",2,1))-IF(K81="Alto",3,IF(K81="Médio",2,1)))=1,"🚀 Alto retorno",IF(AND(L81="Alto",K81="Alto"),"🎯 Estratégica",IF((IF(L81="Alto",3,IF(L81="Médio",2,1))-IF(K81="Alto",3,IF(K81="Médio",2,1)))=0,"⚖ Equilibrada","⏳ Baixo retorno")))))</f>
        <v/>
      </c>
      <c r="N81" s="105"/>
      <c r="O81" s="105"/>
      <c r="P81" s="106"/>
      <c r="Q81" s="105"/>
      <c r="R81" s="107"/>
      <c r="S81" s="105"/>
      <c r="T81" s="107"/>
      <c r="U81" s="105"/>
    </row>
    <row r="82" customFormat="false" ht="15" hidden="false" customHeight="false" outlineLevel="0" collapsed="false">
      <c r="A82" s="101" t="s">
        <v>977</v>
      </c>
      <c r="B82" s="102"/>
      <c r="C82" s="102"/>
      <c r="D82" s="102"/>
      <c r="E82" s="102"/>
      <c r="F82" s="99" t="str">
        <f aca="false">IF(E82="","",IFERROR(INDEX('Fontes e Parcerias'!$C$5:$C$500,MATCH(IFERROR(LEFT(E82,FIND(" · ",E82)-1),E82),'Fontes e Parcerias'!$A$5:$A$500,0)),"Fonte não encontrada"))</f>
        <v/>
      </c>
      <c r="G82" s="103"/>
      <c r="H82" s="102"/>
      <c r="I82" s="102"/>
      <c r="J82" s="117"/>
      <c r="K82" s="103"/>
      <c r="L82" s="103"/>
      <c r="M82" s="99" t="str">
        <f aca="false">IF(OR(K82="",L82=""),"",IF((IF(L82="Alto",3,IF(L82="Médio",2,1))-IF(K82="Alto",3,IF(K82="Médio",2,1)))=2,"⚡ Quick win",IF((IF(L82="Alto",3,IF(L82="Médio",2,1))-IF(K82="Alto",3,IF(K82="Médio",2,1)))=1,"🚀 Alto retorno",IF(AND(L82="Alto",K82="Alto"),"🎯 Estratégica",IF((IF(L82="Alto",3,IF(L82="Médio",2,1))-IF(K82="Alto",3,IF(K82="Médio",2,1)))=0,"⚖ Equilibrada","⏳ Baixo retorno")))))</f>
        <v/>
      </c>
      <c r="N82" s="102"/>
      <c r="O82" s="102"/>
      <c r="P82" s="103"/>
      <c r="Q82" s="102"/>
      <c r="R82" s="104"/>
      <c r="S82" s="102"/>
      <c r="T82" s="104"/>
      <c r="U82" s="102"/>
    </row>
    <row r="83" customFormat="false" ht="15" hidden="false" customHeight="false" outlineLevel="0" collapsed="false">
      <c r="A83" s="93" t="s">
        <v>978</v>
      </c>
      <c r="B83" s="105"/>
      <c r="C83" s="105"/>
      <c r="D83" s="105"/>
      <c r="E83" s="105"/>
      <c r="F83" s="99" t="str">
        <f aca="false">IF(E83="","",IFERROR(INDEX('Fontes e Parcerias'!$C$5:$C$500,MATCH(IFERROR(LEFT(E83,FIND(" · ",E83)-1),E83),'Fontes e Parcerias'!$A$5:$A$500,0)),"Fonte não encontrada"))</f>
        <v/>
      </c>
      <c r="G83" s="106"/>
      <c r="H83" s="105"/>
      <c r="I83" s="105"/>
      <c r="J83" s="118"/>
      <c r="K83" s="106"/>
      <c r="L83" s="106"/>
      <c r="M83" s="99" t="str">
        <f aca="false">IF(OR(K83="",L83=""),"",IF((IF(L83="Alto",3,IF(L83="Médio",2,1))-IF(K83="Alto",3,IF(K83="Médio",2,1)))=2,"⚡ Quick win",IF((IF(L83="Alto",3,IF(L83="Médio",2,1))-IF(K83="Alto",3,IF(K83="Médio",2,1)))=1,"🚀 Alto retorno",IF(AND(L83="Alto",K83="Alto"),"🎯 Estratégica",IF((IF(L83="Alto",3,IF(L83="Médio",2,1))-IF(K83="Alto",3,IF(K83="Médio",2,1)))=0,"⚖ Equilibrada","⏳ Baixo retorno")))))</f>
        <v/>
      </c>
      <c r="N83" s="105"/>
      <c r="O83" s="105"/>
      <c r="P83" s="106"/>
      <c r="Q83" s="105"/>
      <c r="R83" s="107"/>
      <c r="S83" s="105"/>
      <c r="T83" s="107"/>
      <c r="U83" s="105"/>
    </row>
    <row r="84" customFormat="false" ht="15" hidden="false" customHeight="false" outlineLevel="0" collapsed="false">
      <c r="A84" s="101" t="s">
        <v>979</v>
      </c>
      <c r="B84" s="102"/>
      <c r="C84" s="102"/>
      <c r="D84" s="102"/>
      <c r="E84" s="102"/>
      <c r="F84" s="99" t="str">
        <f aca="false">IF(E84="","",IFERROR(INDEX('Fontes e Parcerias'!$C$5:$C$500,MATCH(IFERROR(LEFT(E84,FIND(" · ",E84)-1),E84),'Fontes e Parcerias'!$A$5:$A$500,0)),"Fonte não encontrada"))</f>
        <v/>
      </c>
      <c r="G84" s="103"/>
      <c r="H84" s="102"/>
      <c r="I84" s="102"/>
      <c r="J84" s="117"/>
      <c r="K84" s="103"/>
      <c r="L84" s="103"/>
      <c r="M84" s="99" t="str">
        <f aca="false">IF(OR(K84="",L84=""),"",IF((IF(L84="Alto",3,IF(L84="Médio",2,1))-IF(K84="Alto",3,IF(K84="Médio",2,1)))=2,"⚡ Quick win",IF((IF(L84="Alto",3,IF(L84="Médio",2,1))-IF(K84="Alto",3,IF(K84="Médio",2,1)))=1,"🚀 Alto retorno",IF(AND(L84="Alto",K84="Alto"),"🎯 Estratégica",IF((IF(L84="Alto",3,IF(L84="Médio",2,1))-IF(K84="Alto",3,IF(K84="Médio",2,1)))=0,"⚖ Equilibrada","⏳ Baixo retorno")))))</f>
        <v/>
      </c>
      <c r="N84" s="102"/>
      <c r="O84" s="102"/>
      <c r="P84" s="103"/>
      <c r="Q84" s="102"/>
      <c r="R84" s="104"/>
      <c r="S84" s="102"/>
      <c r="T84" s="104"/>
      <c r="U84" s="102"/>
    </row>
    <row r="85" customFormat="false" ht="15" hidden="false" customHeight="false" outlineLevel="0" collapsed="false">
      <c r="A85" s="93" t="s">
        <v>980</v>
      </c>
      <c r="B85" s="105"/>
      <c r="C85" s="105"/>
      <c r="D85" s="105"/>
      <c r="E85" s="105"/>
      <c r="F85" s="99" t="str">
        <f aca="false">IF(E85="","",IFERROR(INDEX('Fontes e Parcerias'!$C$5:$C$500,MATCH(IFERROR(LEFT(E85,FIND(" · ",E85)-1),E85),'Fontes e Parcerias'!$A$5:$A$500,0)),"Fonte não encontrada"))</f>
        <v/>
      </c>
      <c r="G85" s="106"/>
      <c r="H85" s="105"/>
      <c r="I85" s="105"/>
      <c r="J85" s="118"/>
      <c r="K85" s="106"/>
      <c r="L85" s="106"/>
      <c r="M85" s="99" t="str">
        <f aca="false">IF(OR(K85="",L85=""),"",IF((IF(L85="Alto",3,IF(L85="Médio",2,1))-IF(K85="Alto",3,IF(K85="Médio",2,1)))=2,"⚡ Quick win",IF((IF(L85="Alto",3,IF(L85="Médio",2,1))-IF(K85="Alto",3,IF(K85="Médio",2,1)))=1,"🚀 Alto retorno",IF(AND(L85="Alto",K85="Alto"),"🎯 Estratégica",IF((IF(L85="Alto",3,IF(L85="Médio",2,1))-IF(K85="Alto",3,IF(K85="Médio",2,1)))=0,"⚖ Equilibrada","⏳ Baixo retorno")))))</f>
        <v/>
      </c>
      <c r="N85" s="105"/>
      <c r="O85" s="105"/>
      <c r="P85" s="106"/>
      <c r="Q85" s="105"/>
      <c r="R85" s="107"/>
      <c r="S85" s="105"/>
      <c r="T85" s="107"/>
      <c r="U85" s="105"/>
    </row>
    <row r="86" customFormat="false" ht="15" hidden="false" customHeight="false" outlineLevel="0" collapsed="false">
      <c r="A86" s="101" t="s">
        <v>981</v>
      </c>
      <c r="B86" s="102"/>
      <c r="C86" s="102"/>
      <c r="D86" s="102"/>
      <c r="E86" s="102"/>
      <c r="F86" s="99" t="str">
        <f aca="false">IF(E86="","",IFERROR(INDEX('Fontes e Parcerias'!$C$5:$C$500,MATCH(IFERROR(LEFT(E86,FIND(" · ",E86)-1),E86),'Fontes e Parcerias'!$A$5:$A$500,0)),"Fonte não encontrada"))</f>
        <v/>
      </c>
      <c r="G86" s="103"/>
      <c r="H86" s="102"/>
      <c r="I86" s="102"/>
      <c r="J86" s="117"/>
      <c r="K86" s="103"/>
      <c r="L86" s="103"/>
      <c r="M86" s="99" t="str">
        <f aca="false">IF(OR(K86="",L86=""),"",IF((IF(L86="Alto",3,IF(L86="Médio",2,1))-IF(K86="Alto",3,IF(K86="Médio",2,1)))=2,"⚡ Quick win",IF((IF(L86="Alto",3,IF(L86="Médio",2,1))-IF(K86="Alto",3,IF(K86="Médio",2,1)))=1,"🚀 Alto retorno",IF(AND(L86="Alto",K86="Alto"),"🎯 Estratégica",IF((IF(L86="Alto",3,IF(L86="Médio",2,1))-IF(K86="Alto",3,IF(K86="Médio",2,1)))=0,"⚖ Equilibrada","⏳ Baixo retorno")))))</f>
        <v/>
      </c>
      <c r="N86" s="102"/>
      <c r="O86" s="102"/>
      <c r="P86" s="103"/>
      <c r="Q86" s="102"/>
      <c r="R86" s="104"/>
      <c r="S86" s="102"/>
      <c r="T86" s="104"/>
      <c r="U86" s="102"/>
    </row>
    <row r="87" customFormat="false" ht="15" hidden="false" customHeight="false" outlineLevel="0" collapsed="false">
      <c r="A87" s="93" t="s">
        <v>982</v>
      </c>
      <c r="B87" s="105"/>
      <c r="C87" s="105"/>
      <c r="D87" s="105"/>
      <c r="E87" s="105"/>
      <c r="F87" s="99" t="str">
        <f aca="false">IF(E87="","",IFERROR(INDEX('Fontes e Parcerias'!$C$5:$C$500,MATCH(IFERROR(LEFT(E87,FIND(" · ",E87)-1),E87),'Fontes e Parcerias'!$A$5:$A$500,0)),"Fonte não encontrada"))</f>
        <v/>
      </c>
      <c r="G87" s="106"/>
      <c r="H87" s="105"/>
      <c r="I87" s="105"/>
      <c r="J87" s="118"/>
      <c r="K87" s="106"/>
      <c r="L87" s="106"/>
      <c r="M87" s="99" t="str">
        <f aca="false">IF(OR(K87="",L87=""),"",IF((IF(L87="Alto",3,IF(L87="Médio",2,1))-IF(K87="Alto",3,IF(K87="Médio",2,1)))=2,"⚡ Quick win",IF((IF(L87="Alto",3,IF(L87="Médio",2,1))-IF(K87="Alto",3,IF(K87="Médio",2,1)))=1,"🚀 Alto retorno",IF(AND(L87="Alto",K87="Alto"),"🎯 Estratégica",IF((IF(L87="Alto",3,IF(L87="Médio",2,1))-IF(K87="Alto",3,IF(K87="Médio",2,1)))=0,"⚖ Equilibrada","⏳ Baixo retorno")))))</f>
        <v/>
      </c>
      <c r="N87" s="105"/>
      <c r="O87" s="105"/>
      <c r="P87" s="106"/>
      <c r="Q87" s="105"/>
      <c r="R87" s="107"/>
      <c r="S87" s="105"/>
      <c r="T87" s="107"/>
      <c r="U87" s="105"/>
    </row>
    <row r="88" customFormat="false" ht="15" hidden="false" customHeight="false" outlineLevel="0" collapsed="false">
      <c r="A88" s="101" t="s">
        <v>983</v>
      </c>
      <c r="B88" s="102"/>
      <c r="C88" s="102"/>
      <c r="D88" s="102"/>
      <c r="E88" s="102"/>
      <c r="F88" s="99" t="str">
        <f aca="false">IF(E88="","",IFERROR(INDEX('Fontes e Parcerias'!$C$5:$C$500,MATCH(IFERROR(LEFT(E88,FIND(" · ",E88)-1),E88),'Fontes e Parcerias'!$A$5:$A$500,0)),"Fonte não encontrada"))</f>
        <v/>
      </c>
      <c r="G88" s="103"/>
      <c r="H88" s="102"/>
      <c r="I88" s="102"/>
      <c r="J88" s="117"/>
      <c r="K88" s="103"/>
      <c r="L88" s="103"/>
      <c r="M88" s="99" t="str">
        <f aca="false">IF(OR(K88="",L88=""),"",IF((IF(L88="Alto",3,IF(L88="Médio",2,1))-IF(K88="Alto",3,IF(K88="Médio",2,1)))=2,"⚡ Quick win",IF((IF(L88="Alto",3,IF(L88="Médio",2,1))-IF(K88="Alto",3,IF(K88="Médio",2,1)))=1,"🚀 Alto retorno",IF(AND(L88="Alto",K88="Alto"),"🎯 Estratégica",IF((IF(L88="Alto",3,IF(L88="Médio",2,1))-IF(K88="Alto",3,IF(K88="Médio",2,1)))=0,"⚖ Equilibrada","⏳ Baixo retorno")))))</f>
        <v/>
      </c>
      <c r="N88" s="102"/>
      <c r="O88" s="102"/>
      <c r="P88" s="103"/>
      <c r="Q88" s="102"/>
      <c r="R88" s="104"/>
      <c r="S88" s="102"/>
      <c r="T88" s="104"/>
      <c r="U88" s="102"/>
    </row>
    <row r="89" customFormat="false" ht="15" hidden="false" customHeight="false" outlineLevel="0" collapsed="false">
      <c r="A89" s="93" t="s">
        <v>984</v>
      </c>
      <c r="B89" s="105"/>
      <c r="C89" s="105"/>
      <c r="D89" s="105"/>
      <c r="E89" s="105"/>
      <c r="F89" s="99" t="str">
        <f aca="false">IF(E89="","",IFERROR(INDEX('Fontes e Parcerias'!$C$5:$C$500,MATCH(IFERROR(LEFT(E89,FIND(" · ",E89)-1),E89),'Fontes e Parcerias'!$A$5:$A$500,0)),"Fonte não encontrada"))</f>
        <v/>
      </c>
      <c r="G89" s="106"/>
      <c r="H89" s="105"/>
      <c r="I89" s="105"/>
      <c r="J89" s="118"/>
      <c r="K89" s="106"/>
      <c r="L89" s="106"/>
      <c r="M89" s="99" t="str">
        <f aca="false">IF(OR(K89="",L89=""),"",IF((IF(L89="Alto",3,IF(L89="Médio",2,1))-IF(K89="Alto",3,IF(K89="Médio",2,1)))=2,"⚡ Quick win",IF((IF(L89="Alto",3,IF(L89="Médio",2,1))-IF(K89="Alto",3,IF(K89="Médio",2,1)))=1,"🚀 Alto retorno",IF(AND(L89="Alto",K89="Alto"),"🎯 Estratégica",IF((IF(L89="Alto",3,IF(L89="Médio",2,1))-IF(K89="Alto",3,IF(K89="Médio",2,1)))=0,"⚖ Equilibrada","⏳ Baixo retorno")))))</f>
        <v/>
      </c>
      <c r="N89" s="105"/>
      <c r="O89" s="105"/>
      <c r="P89" s="106"/>
      <c r="Q89" s="105"/>
      <c r="R89" s="107"/>
      <c r="S89" s="105"/>
      <c r="T89" s="107"/>
      <c r="U89" s="105"/>
    </row>
    <row r="90" customFormat="false" ht="15" hidden="false" customHeight="false" outlineLevel="0" collapsed="false">
      <c r="A90" s="101" t="s">
        <v>985</v>
      </c>
      <c r="B90" s="102"/>
      <c r="C90" s="102"/>
      <c r="D90" s="102"/>
      <c r="E90" s="102"/>
      <c r="F90" s="99" t="str">
        <f aca="false">IF(E90="","",IFERROR(INDEX('Fontes e Parcerias'!$C$5:$C$500,MATCH(IFERROR(LEFT(E90,FIND(" · ",E90)-1),E90),'Fontes e Parcerias'!$A$5:$A$500,0)),"Fonte não encontrada"))</f>
        <v/>
      </c>
      <c r="G90" s="103"/>
      <c r="H90" s="102"/>
      <c r="I90" s="102"/>
      <c r="J90" s="117"/>
      <c r="K90" s="103"/>
      <c r="L90" s="103"/>
      <c r="M90" s="99" t="str">
        <f aca="false">IF(OR(K90="",L90=""),"",IF((IF(L90="Alto",3,IF(L90="Médio",2,1))-IF(K90="Alto",3,IF(K90="Médio",2,1)))=2,"⚡ Quick win",IF((IF(L90="Alto",3,IF(L90="Médio",2,1))-IF(K90="Alto",3,IF(K90="Médio",2,1)))=1,"🚀 Alto retorno",IF(AND(L90="Alto",K90="Alto"),"🎯 Estratégica",IF((IF(L90="Alto",3,IF(L90="Médio",2,1))-IF(K90="Alto",3,IF(K90="Médio",2,1)))=0,"⚖ Equilibrada","⏳ Baixo retorno")))))</f>
        <v/>
      </c>
      <c r="N90" s="102"/>
      <c r="O90" s="102"/>
      <c r="P90" s="103"/>
      <c r="Q90" s="102"/>
      <c r="R90" s="104"/>
      <c r="S90" s="102"/>
      <c r="T90" s="104"/>
      <c r="U90" s="102"/>
    </row>
    <row r="91" customFormat="false" ht="15" hidden="false" customHeight="false" outlineLevel="0" collapsed="false">
      <c r="A91" s="93" t="s">
        <v>986</v>
      </c>
      <c r="B91" s="105"/>
      <c r="C91" s="105"/>
      <c r="D91" s="105"/>
      <c r="E91" s="105"/>
      <c r="F91" s="99" t="str">
        <f aca="false">IF(E91="","",IFERROR(INDEX('Fontes e Parcerias'!$C$5:$C$500,MATCH(IFERROR(LEFT(E91,FIND(" · ",E91)-1),E91),'Fontes e Parcerias'!$A$5:$A$500,0)),"Fonte não encontrada"))</f>
        <v/>
      </c>
      <c r="G91" s="106"/>
      <c r="H91" s="105"/>
      <c r="I91" s="105"/>
      <c r="J91" s="118"/>
      <c r="K91" s="106"/>
      <c r="L91" s="106"/>
      <c r="M91" s="99" t="str">
        <f aca="false">IF(OR(K91="",L91=""),"",IF((IF(L91="Alto",3,IF(L91="Médio",2,1))-IF(K91="Alto",3,IF(K91="Médio",2,1)))=2,"⚡ Quick win",IF((IF(L91="Alto",3,IF(L91="Médio",2,1))-IF(K91="Alto",3,IF(K91="Médio",2,1)))=1,"🚀 Alto retorno",IF(AND(L91="Alto",K91="Alto"),"🎯 Estratégica",IF((IF(L91="Alto",3,IF(L91="Médio",2,1))-IF(K91="Alto",3,IF(K91="Médio",2,1)))=0,"⚖ Equilibrada","⏳ Baixo retorno")))))</f>
        <v/>
      </c>
      <c r="N91" s="105"/>
      <c r="O91" s="105"/>
      <c r="P91" s="106"/>
      <c r="Q91" s="105"/>
      <c r="R91" s="107"/>
      <c r="S91" s="105"/>
      <c r="T91" s="107"/>
      <c r="U91" s="105"/>
    </row>
    <row r="92" customFormat="false" ht="15" hidden="false" customHeight="false" outlineLevel="0" collapsed="false">
      <c r="A92" s="101" t="s">
        <v>987</v>
      </c>
      <c r="B92" s="102"/>
      <c r="C92" s="102"/>
      <c r="D92" s="102"/>
      <c r="E92" s="102"/>
      <c r="F92" s="99" t="str">
        <f aca="false">IF(E92="","",IFERROR(INDEX('Fontes e Parcerias'!$C$5:$C$500,MATCH(IFERROR(LEFT(E92,FIND(" · ",E92)-1),E92),'Fontes e Parcerias'!$A$5:$A$500,0)),"Fonte não encontrada"))</f>
        <v/>
      </c>
      <c r="G92" s="103"/>
      <c r="H92" s="102"/>
      <c r="I92" s="102"/>
      <c r="J92" s="117"/>
      <c r="K92" s="103"/>
      <c r="L92" s="103"/>
      <c r="M92" s="99" t="str">
        <f aca="false">IF(OR(K92="",L92=""),"",IF((IF(L92="Alto",3,IF(L92="Médio",2,1))-IF(K92="Alto",3,IF(K92="Médio",2,1)))=2,"⚡ Quick win",IF((IF(L92="Alto",3,IF(L92="Médio",2,1))-IF(K92="Alto",3,IF(K92="Médio",2,1)))=1,"🚀 Alto retorno",IF(AND(L92="Alto",K92="Alto"),"🎯 Estratégica",IF((IF(L92="Alto",3,IF(L92="Médio",2,1))-IF(K92="Alto",3,IF(K92="Médio",2,1)))=0,"⚖ Equilibrada","⏳ Baixo retorno")))))</f>
        <v/>
      </c>
      <c r="N92" s="102"/>
      <c r="O92" s="102"/>
      <c r="P92" s="103"/>
      <c r="Q92" s="102"/>
      <c r="R92" s="104"/>
      <c r="S92" s="102"/>
      <c r="T92" s="104"/>
      <c r="U92" s="102"/>
    </row>
    <row r="93" customFormat="false" ht="15" hidden="false" customHeight="false" outlineLevel="0" collapsed="false">
      <c r="A93" s="93" t="s">
        <v>988</v>
      </c>
      <c r="B93" s="105"/>
      <c r="C93" s="105"/>
      <c r="D93" s="105"/>
      <c r="E93" s="105"/>
      <c r="F93" s="99" t="str">
        <f aca="false">IF(E93="","",IFERROR(INDEX('Fontes e Parcerias'!$C$5:$C$500,MATCH(IFERROR(LEFT(E93,FIND(" · ",E93)-1),E93),'Fontes e Parcerias'!$A$5:$A$500,0)),"Fonte não encontrada"))</f>
        <v/>
      </c>
      <c r="G93" s="106"/>
      <c r="H93" s="105"/>
      <c r="I93" s="105"/>
      <c r="J93" s="118"/>
      <c r="K93" s="106"/>
      <c r="L93" s="106"/>
      <c r="M93" s="99" t="str">
        <f aca="false">IF(OR(K93="",L93=""),"",IF((IF(L93="Alto",3,IF(L93="Médio",2,1))-IF(K93="Alto",3,IF(K93="Médio",2,1)))=2,"⚡ Quick win",IF((IF(L93="Alto",3,IF(L93="Médio",2,1))-IF(K93="Alto",3,IF(K93="Médio",2,1)))=1,"🚀 Alto retorno",IF(AND(L93="Alto",K93="Alto"),"🎯 Estratégica",IF((IF(L93="Alto",3,IF(L93="Médio",2,1))-IF(K93="Alto",3,IF(K93="Médio",2,1)))=0,"⚖ Equilibrada","⏳ Baixo retorno")))))</f>
        <v/>
      </c>
      <c r="N93" s="105"/>
      <c r="O93" s="105"/>
      <c r="P93" s="106"/>
      <c r="Q93" s="105"/>
      <c r="R93" s="107"/>
      <c r="S93" s="105"/>
      <c r="T93" s="107"/>
      <c r="U93" s="105"/>
    </row>
    <row r="94" customFormat="false" ht="15" hidden="false" customHeight="false" outlineLevel="0" collapsed="false">
      <c r="A94" s="101" t="s">
        <v>989</v>
      </c>
      <c r="B94" s="102"/>
      <c r="C94" s="102"/>
      <c r="D94" s="102"/>
      <c r="E94" s="102"/>
      <c r="F94" s="99" t="str">
        <f aca="false">IF(E94="","",IFERROR(INDEX('Fontes e Parcerias'!$C$5:$C$500,MATCH(IFERROR(LEFT(E94,FIND(" · ",E94)-1),E94),'Fontes e Parcerias'!$A$5:$A$500,0)),"Fonte não encontrada"))</f>
        <v/>
      </c>
      <c r="G94" s="103"/>
      <c r="H94" s="102"/>
      <c r="I94" s="102"/>
      <c r="J94" s="117"/>
      <c r="K94" s="103"/>
      <c r="L94" s="103"/>
      <c r="M94" s="99" t="str">
        <f aca="false">IF(OR(K94="",L94=""),"",IF((IF(L94="Alto",3,IF(L94="Médio",2,1))-IF(K94="Alto",3,IF(K94="Médio",2,1)))=2,"⚡ Quick win",IF((IF(L94="Alto",3,IF(L94="Médio",2,1))-IF(K94="Alto",3,IF(K94="Médio",2,1)))=1,"🚀 Alto retorno",IF(AND(L94="Alto",K94="Alto"),"🎯 Estratégica",IF((IF(L94="Alto",3,IF(L94="Médio",2,1))-IF(K94="Alto",3,IF(K94="Médio",2,1)))=0,"⚖ Equilibrada","⏳ Baixo retorno")))))</f>
        <v/>
      </c>
      <c r="N94" s="102"/>
      <c r="O94" s="102"/>
      <c r="P94" s="103"/>
      <c r="Q94" s="102"/>
      <c r="R94" s="104"/>
      <c r="S94" s="102"/>
      <c r="T94" s="104"/>
      <c r="U94" s="102"/>
    </row>
    <row r="95" customFormat="false" ht="15" hidden="false" customHeight="false" outlineLevel="0" collapsed="false">
      <c r="A95" s="93" t="s">
        <v>990</v>
      </c>
      <c r="B95" s="105"/>
      <c r="C95" s="105"/>
      <c r="D95" s="105"/>
      <c r="E95" s="105"/>
      <c r="F95" s="99" t="str">
        <f aca="false">IF(E95="","",IFERROR(INDEX('Fontes e Parcerias'!$C$5:$C$500,MATCH(IFERROR(LEFT(E95,FIND(" · ",E95)-1),E95),'Fontes e Parcerias'!$A$5:$A$500,0)),"Fonte não encontrada"))</f>
        <v/>
      </c>
      <c r="G95" s="106"/>
      <c r="H95" s="105"/>
      <c r="I95" s="105"/>
      <c r="J95" s="118"/>
      <c r="K95" s="106"/>
      <c r="L95" s="106"/>
      <c r="M95" s="99" t="str">
        <f aca="false">IF(OR(K95="",L95=""),"",IF((IF(L95="Alto",3,IF(L95="Médio",2,1))-IF(K95="Alto",3,IF(K95="Médio",2,1)))=2,"⚡ Quick win",IF((IF(L95="Alto",3,IF(L95="Médio",2,1))-IF(K95="Alto",3,IF(K95="Médio",2,1)))=1,"🚀 Alto retorno",IF(AND(L95="Alto",K95="Alto"),"🎯 Estratégica",IF((IF(L95="Alto",3,IF(L95="Médio",2,1))-IF(K95="Alto",3,IF(K95="Médio",2,1)))=0,"⚖ Equilibrada","⏳ Baixo retorno")))))</f>
        <v/>
      </c>
      <c r="N95" s="105"/>
      <c r="O95" s="105"/>
      <c r="P95" s="106"/>
      <c r="Q95" s="105"/>
      <c r="R95" s="107"/>
      <c r="S95" s="105"/>
      <c r="T95" s="107"/>
      <c r="U95" s="105"/>
    </row>
    <row r="96" customFormat="false" ht="15" hidden="false" customHeight="false" outlineLevel="0" collapsed="false">
      <c r="A96" s="101" t="s">
        <v>991</v>
      </c>
      <c r="B96" s="102"/>
      <c r="C96" s="102"/>
      <c r="D96" s="102"/>
      <c r="E96" s="102"/>
      <c r="F96" s="99" t="str">
        <f aca="false">IF(E96="","",IFERROR(INDEX('Fontes e Parcerias'!$C$5:$C$500,MATCH(IFERROR(LEFT(E96,FIND(" · ",E96)-1),E96),'Fontes e Parcerias'!$A$5:$A$500,0)),"Fonte não encontrada"))</f>
        <v/>
      </c>
      <c r="G96" s="103"/>
      <c r="H96" s="102"/>
      <c r="I96" s="102"/>
      <c r="J96" s="117"/>
      <c r="K96" s="103"/>
      <c r="L96" s="103"/>
      <c r="M96" s="99" t="str">
        <f aca="false">IF(OR(K96="",L96=""),"",IF((IF(L96="Alto",3,IF(L96="Médio",2,1))-IF(K96="Alto",3,IF(K96="Médio",2,1)))=2,"⚡ Quick win",IF((IF(L96="Alto",3,IF(L96="Médio",2,1))-IF(K96="Alto",3,IF(K96="Médio",2,1)))=1,"🚀 Alto retorno",IF(AND(L96="Alto",K96="Alto"),"🎯 Estratégica",IF((IF(L96="Alto",3,IF(L96="Médio",2,1))-IF(K96="Alto",3,IF(K96="Médio",2,1)))=0,"⚖ Equilibrada","⏳ Baixo retorno")))))</f>
        <v/>
      </c>
      <c r="N96" s="102"/>
      <c r="O96" s="102"/>
      <c r="P96" s="103"/>
      <c r="Q96" s="102"/>
      <c r="R96" s="104"/>
      <c r="S96" s="102"/>
      <c r="T96" s="104"/>
      <c r="U96" s="102"/>
    </row>
    <row r="97" customFormat="false" ht="15" hidden="false" customHeight="false" outlineLevel="0" collapsed="false">
      <c r="A97" s="93" t="s">
        <v>992</v>
      </c>
      <c r="B97" s="105"/>
      <c r="C97" s="105"/>
      <c r="D97" s="105"/>
      <c r="E97" s="105"/>
      <c r="F97" s="99" t="str">
        <f aca="false">IF(E97="","",IFERROR(INDEX('Fontes e Parcerias'!$C$5:$C$500,MATCH(IFERROR(LEFT(E97,FIND(" · ",E97)-1),E97),'Fontes e Parcerias'!$A$5:$A$500,0)),"Fonte não encontrada"))</f>
        <v/>
      </c>
      <c r="G97" s="106"/>
      <c r="H97" s="105"/>
      <c r="I97" s="105"/>
      <c r="J97" s="118"/>
      <c r="K97" s="106"/>
      <c r="L97" s="106"/>
      <c r="M97" s="99" t="str">
        <f aca="false">IF(OR(K97="",L97=""),"",IF((IF(L97="Alto",3,IF(L97="Médio",2,1))-IF(K97="Alto",3,IF(K97="Médio",2,1)))=2,"⚡ Quick win",IF((IF(L97="Alto",3,IF(L97="Médio",2,1))-IF(K97="Alto",3,IF(K97="Médio",2,1)))=1,"🚀 Alto retorno",IF(AND(L97="Alto",K97="Alto"),"🎯 Estratégica",IF((IF(L97="Alto",3,IF(L97="Médio",2,1))-IF(K97="Alto",3,IF(K97="Médio",2,1)))=0,"⚖ Equilibrada","⏳ Baixo retorno")))))</f>
        <v/>
      </c>
      <c r="N97" s="105"/>
      <c r="O97" s="105"/>
      <c r="P97" s="106"/>
      <c r="Q97" s="105"/>
      <c r="R97" s="107"/>
      <c r="S97" s="105"/>
      <c r="T97" s="107"/>
      <c r="U97" s="105"/>
    </row>
    <row r="98" customFormat="false" ht="15" hidden="false" customHeight="false" outlineLevel="0" collapsed="false">
      <c r="A98" s="101" t="s">
        <v>993</v>
      </c>
      <c r="B98" s="102"/>
      <c r="C98" s="102"/>
      <c r="D98" s="102"/>
      <c r="E98" s="102"/>
      <c r="F98" s="99" t="str">
        <f aca="false">IF(E98="","",IFERROR(INDEX('Fontes e Parcerias'!$C$5:$C$500,MATCH(IFERROR(LEFT(E98,FIND(" · ",E98)-1),E98),'Fontes e Parcerias'!$A$5:$A$500,0)),"Fonte não encontrada"))</f>
        <v/>
      </c>
      <c r="G98" s="103"/>
      <c r="H98" s="102"/>
      <c r="I98" s="102"/>
      <c r="J98" s="117"/>
      <c r="K98" s="103"/>
      <c r="L98" s="103"/>
      <c r="M98" s="99" t="str">
        <f aca="false">IF(OR(K98="",L98=""),"",IF((IF(L98="Alto",3,IF(L98="Médio",2,1))-IF(K98="Alto",3,IF(K98="Médio",2,1)))=2,"⚡ Quick win",IF((IF(L98="Alto",3,IF(L98="Médio",2,1))-IF(K98="Alto",3,IF(K98="Médio",2,1)))=1,"🚀 Alto retorno",IF(AND(L98="Alto",K98="Alto"),"🎯 Estratégica",IF((IF(L98="Alto",3,IF(L98="Médio",2,1))-IF(K98="Alto",3,IF(K98="Médio",2,1)))=0,"⚖ Equilibrada","⏳ Baixo retorno")))))</f>
        <v/>
      </c>
      <c r="N98" s="102"/>
      <c r="O98" s="102"/>
      <c r="P98" s="103"/>
      <c r="Q98" s="102"/>
      <c r="R98" s="104"/>
      <c r="S98" s="102"/>
      <c r="T98" s="104"/>
      <c r="U98" s="102"/>
    </row>
    <row r="99" customFormat="false" ht="15" hidden="false" customHeight="false" outlineLevel="0" collapsed="false">
      <c r="A99" s="93" t="s">
        <v>994</v>
      </c>
      <c r="B99" s="105"/>
      <c r="C99" s="105"/>
      <c r="D99" s="105"/>
      <c r="E99" s="105"/>
      <c r="F99" s="99" t="str">
        <f aca="false">IF(E99="","",IFERROR(INDEX('Fontes e Parcerias'!$C$5:$C$500,MATCH(IFERROR(LEFT(E99,FIND(" · ",E99)-1),E99),'Fontes e Parcerias'!$A$5:$A$500,0)),"Fonte não encontrada"))</f>
        <v/>
      </c>
      <c r="G99" s="106"/>
      <c r="H99" s="105"/>
      <c r="I99" s="105"/>
      <c r="J99" s="118"/>
      <c r="K99" s="106"/>
      <c r="L99" s="106"/>
      <c r="M99" s="99" t="str">
        <f aca="false">IF(OR(K99="",L99=""),"",IF((IF(L99="Alto",3,IF(L99="Médio",2,1))-IF(K99="Alto",3,IF(K99="Médio",2,1)))=2,"⚡ Quick win",IF((IF(L99="Alto",3,IF(L99="Médio",2,1))-IF(K99="Alto",3,IF(K99="Médio",2,1)))=1,"🚀 Alto retorno",IF(AND(L99="Alto",K99="Alto"),"🎯 Estratégica",IF((IF(L99="Alto",3,IF(L99="Médio",2,1))-IF(K99="Alto",3,IF(K99="Médio",2,1)))=0,"⚖ Equilibrada","⏳ Baixo retorno")))))</f>
        <v/>
      </c>
      <c r="N99" s="105"/>
      <c r="O99" s="105"/>
      <c r="P99" s="106"/>
      <c r="Q99" s="105"/>
      <c r="R99" s="107"/>
      <c r="S99" s="105"/>
      <c r="T99" s="107"/>
      <c r="U99" s="105"/>
    </row>
    <row r="100" customFormat="false" ht="15" hidden="false" customHeight="false" outlineLevel="0" collapsed="false">
      <c r="A100" s="101" t="s">
        <v>995</v>
      </c>
      <c r="B100" s="102"/>
      <c r="C100" s="102"/>
      <c r="D100" s="102"/>
      <c r="E100" s="102"/>
      <c r="F100" s="99" t="str">
        <f aca="false">IF(E100="","",IFERROR(INDEX('Fontes e Parcerias'!$C$5:$C$500,MATCH(IFERROR(LEFT(E100,FIND(" · ",E100)-1),E100),'Fontes e Parcerias'!$A$5:$A$500,0)),"Fonte não encontrada"))</f>
        <v/>
      </c>
      <c r="G100" s="103"/>
      <c r="H100" s="102"/>
      <c r="I100" s="102"/>
      <c r="J100" s="117"/>
      <c r="K100" s="103"/>
      <c r="L100" s="103"/>
      <c r="M100" s="99" t="str">
        <f aca="false">IF(OR(K100="",L100=""),"",IF((IF(L100="Alto",3,IF(L100="Médio",2,1))-IF(K100="Alto",3,IF(K100="Médio",2,1)))=2,"⚡ Quick win",IF((IF(L100="Alto",3,IF(L100="Médio",2,1))-IF(K100="Alto",3,IF(K100="Médio",2,1)))=1,"🚀 Alto retorno",IF(AND(L100="Alto",K100="Alto"),"🎯 Estratégica",IF((IF(L100="Alto",3,IF(L100="Médio",2,1))-IF(K100="Alto",3,IF(K100="Médio",2,1)))=0,"⚖ Equilibrada","⏳ Baixo retorno")))))</f>
        <v/>
      </c>
      <c r="N100" s="102"/>
      <c r="O100" s="102"/>
      <c r="P100" s="103"/>
      <c r="Q100" s="102"/>
      <c r="R100" s="104"/>
      <c r="S100" s="102"/>
      <c r="T100" s="104"/>
      <c r="U100" s="102"/>
    </row>
    <row r="101" customFormat="false" ht="15" hidden="false" customHeight="false" outlineLevel="0" collapsed="false">
      <c r="A101" s="93" t="s">
        <v>996</v>
      </c>
      <c r="B101" s="105"/>
      <c r="C101" s="105"/>
      <c r="D101" s="105"/>
      <c r="E101" s="105"/>
      <c r="F101" s="99" t="str">
        <f aca="false">IF(E101="","",IFERROR(INDEX('Fontes e Parcerias'!$C$5:$C$500,MATCH(IFERROR(LEFT(E101,FIND(" · ",E101)-1),E101),'Fontes e Parcerias'!$A$5:$A$500,0)),"Fonte não encontrada"))</f>
        <v/>
      </c>
      <c r="G101" s="106"/>
      <c r="H101" s="105"/>
      <c r="I101" s="105"/>
      <c r="J101" s="118"/>
      <c r="K101" s="106"/>
      <c r="L101" s="106"/>
      <c r="M101" s="99" t="str">
        <f aca="false">IF(OR(K101="",L101=""),"",IF((IF(L101="Alto",3,IF(L101="Médio",2,1))-IF(K101="Alto",3,IF(K101="Médio",2,1)))=2,"⚡ Quick win",IF((IF(L101="Alto",3,IF(L101="Médio",2,1))-IF(K101="Alto",3,IF(K101="Médio",2,1)))=1,"🚀 Alto retorno",IF(AND(L101="Alto",K101="Alto"),"🎯 Estratégica",IF((IF(L101="Alto",3,IF(L101="Médio",2,1))-IF(K101="Alto",3,IF(K101="Médio",2,1)))=0,"⚖ Equilibrada","⏳ Baixo retorno")))))</f>
        <v/>
      </c>
      <c r="N101" s="105"/>
      <c r="O101" s="105"/>
      <c r="P101" s="106"/>
      <c r="Q101" s="105"/>
      <c r="R101" s="107"/>
      <c r="S101" s="105"/>
      <c r="T101" s="107"/>
      <c r="U101" s="105"/>
    </row>
    <row r="102" customFormat="false" ht="15" hidden="false" customHeight="false" outlineLevel="0" collapsed="false">
      <c r="A102" s="101" t="s">
        <v>997</v>
      </c>
      <c r="B102" s="102"/>
      <c r="C102" s="102"/>
      <c r="D102" s="102"/>
      <c r="E102" s="102"/>
      <c r="F102" s="99" t="str">
        <f aca="false">IF(E102="","",IFERROR(INDEX('Fontes e Parcerias'!$C$5:$C$500,MATCH(IFERROR(LEFT(E102,FIND(" · ",E102)-1),E102),'Fontes e Parcerias'!$A$5:$A$500,0)),"Fonte não encontrada"))</f>
        <v/>
      </c>
      <c r="G102" s="103"/>
      <c r="H102" s="102"/>
      <c r="I102" s="102"/>
      <c r="J102" s="117"/>
      <c r="K102" s="103"/>
      <c r="L102" s="103"/>
      <c r="M102" s="99" t="str">
        <f aca="false">IF(OR(K102="",L102=""),"",IF((IF(L102="Alto",3,IF(L102="Médio",2,1))-IF(K102="Alto",3,IF(K102="Médio",2,1)))=2,"⚡ Quick win",IF((IF(L102="Alto",3,IF(L102="Médio",2,1))-IF(K102="Alto",3,IF(K102="Médio",2,1)))=1,"🚀 Alto retorno",IF(AND(L102="Alto",K102="Alto"),"🎯 Estratégica",IF((IF(L102="Alto",3,IF(L102="Médio",2,1))-IF(K102="Alto",3,IF(K102="Médio",2,1)))=0,"⚖ Equilibrada","⏳ Baixo retorno")))))</f>
        <v/>
      </c>
      <c r="N102" s="102"/>
      <c r="O102" s="102"/>
      <c r="P102" s="103"/>
      <c r="Q102" s="102"/>
      <c r="R102" s="104"/>
      <c r="S102" s="102"/>
      <c r="T102" s="104"/>
      <c r="U102" s="102"/>
    </row>
    <row r="103" customFormat="false" ht="15" hidden="false" customHeight="false" outlineLevel="0" collapsed="false">
      <c r="A103" s="93" t="s">
        <v>998</v>
      </c>
      <c r="B103" s="105"/>
      <c r="C103" s="105"/>
      <c r="D103" s="105"/>
      <c r="E103" s="105"/>
      <c r="F103" s="99" t="str">
        <f aca="false">IF(E103="","",IFERROR(INDEX('Fontes e Parcerias'!$C$5:$C$500,MATCH(IFERROR(LEFT(E103,FIND(" · ",E103)-1),E103),'Fontes e Parcerias'!$A$5:$A$500,0)),"Fonte não encontrada"))</f>
        <v/>
      </c>
      <c r="G103" s="106"/>
      <c r="H103" s="105"/>
      <c r="I103" s="105"/>
      <c r="J103" s="118"/>
      <c r="K103" s="106"/>
      <c r="L103" s="106"/>
      <c r="M103" s="99" t="str">
        <f aca="false">IF(OR(K103="",L103=""),"",IF((IF(L103="Alto",3,IF(L103="Médio",2,1))-IF(K103="Alto",3,IF(K103="Médio",2,1)))=2,"⚡ Quick win",IF((IF(L103="Alto",3,IF(L103="Médio",2,1))-IF(K103="Alto",3,IF(K103="Médio",2,1)))=1,"🚀 Alto retorno",IF(AND(L103="Alto",K103="Alto"),"🎯 Estratégica",IF((IF(L103="Alto",3,IF(L103="Médio",2,1))-IF(K103="Alto",3,IF(K103="Médio",2,1)))=0,"⚖ Equilibrada","⏳ Baixo retorno")))))</f>
        <v/>
      </c>
      <c r="N103" s="105"/>
      <c r="O103" s="105"/>
      <c r="P103" s="106"/>
      <c r="Q103" s="105"/>
      <c r="R103" s="107"/>
      <c r="S103" s="105"/>
      <c r="T103" s="107"/>
      <c r="U103" s="105"/>
    </row>
    <row r="104" customFormat="false" ht="15" hidden="false" customHeight="false" outlineLevel="0" collapsed="false">
      <c r="A104" s="101" t="s">
        <v>999</v>
      </c>
      <c r="B104" s="102"/>
      <c r="C104" s="102"/>
      <c r="D104" s="102"/>
      <c r="E104" s="102"/>
      <c r="F104" s="99" t="str">
        <f aca="false">IF(E104="","",IFERROR(INDEX('Fontes e Parcerias'!$C$5:$C$500,MATCH(IFERROR(LEFT(E104,FIND(" · ",E104)-1),E104),'Fontes e Parcerias'!$A$5:$A$500,0)),"Fonte não encontrada"))</f>
        <v/>
      </c>
      <c r="G104" s="103"/>
      <c r="H104" s="102"/>
      <c r="I104" s="102"/>
      <c r="J104" s="117"/>
      <c r="K104" s="103"/>
      <c r="L104" s="103"/>
      <c r="M104" s="99" t="str">
        <f aca="false">IF(OR(K104="",L104=""),"",IF((IF(L104="Alto",3,IF(L104="Médio",2,1))-IF(K104="Alto",3,IF(K104="Médio",2,1)))=2,"⚡ Quick win",IF((IF(L104="Alto",3,IF(L104="Médio",2,1))-IF(K104="Alto",3,IF(K104="Médio",2,1)))=1,"🚀 Alto retorno",IF(AND(L104="Alto",K104="Alto"),"🎯 Estratégica",IF((IF(L104="Alto",3,IF(L104="Médio",2,1))-IF(K104="Alto",3,IF(K104="Médio",2,1)))=0,"⚖ Equilibrada","⏳ Baixo retorno")))))</f>
        <v/>
      </c>
      <c r="N104" s="102"/>
      <c r="O104" s="102"/>
      <c r="P104" s="103"/>
      <c r="Q104" s="102"/>
      <c r="R104" s="104"/>
      <c r="S104" s="102"/>
      <c r="T104" s="104"/>
      <c r="U104" s="102"/>
    </row>
  </sheetData>
  <autoFilter ref="A4:U104"/>
  <mergeCells count="7">
    <mergeCell ref="A3:D3"/>
    <mergeCell ref="E3:G3"/>
    <mergeCell ref="H3:J3"/>
    <mergeCell ref="K3:M3"/>
    <mergeCell ref="N3:O3"/>
    <mergeCell ref="P3:R3"/>
    <mergeCell ref="S3:U3"/>
  </mergeCells>
  <conditionalFormatting sqref="A5:A500">
    <cfRule type="expression" priority="2" aboveAverage="0" equalAverage="0" bottom="0" percent="0" rank="0" text="" dxfId="13">
      <formula>$B5&lt;&gt;""</formula>
    </cfRule>
  </conditionalFormatting>
  <conditionalFormatting sqref="P5:P500">
    <cfRule type="expression" priority="3" aboveAverage="0" equalAverage="0" bottom="0" percent="0" rank="0" text="" dxfId="14">
      <formula>$P5="Implantada"</formula>
    </cfRule>
    <cfRule type="expression" priority="4" aboveAverage="0" equalAverage="0" bottom="0" percent="0" rank="0" text="" dxfId="15">
      <formula>$P5="Em implantação"</formula>
    </cfRule>
    <cfRule type="expression" priority="5" aboveAverage="0" equalAverage="0" bottom="0" percent="0" rank="0" text="" dxfId="16">
      <formula>$P5="Aprovada"</formula>
    </cfRule>
    <cfRule type="expression" priority="6" aboveAverage="0" equalAverage="0" bottom="0" percent="0" rank="0" text="" dxfId="17">
      <formula>$P5="Em análise"</formula>
    </cfRule>
    <cfRule type="expression" priority="7" aboveAverage="0" equalAverage="0" bottom="0" percent="0" rank="0" text="" dxfId="31">
      <formula>$P5="Ideia"</formula>
    </cfRule>
    <cfRule type="expression" priority="8" aboveAverage="0" equalAverage="0" bottom="0" percent="0" rank="0" text="" dxfId="18">
      <formula>$P5="Descartada"</formula>
    </cfRule>
  </conditionalFormatting>
  <conditionalFormatting sqref="M5:M500">
    <cfRule type="expression" priority="9" aboveAverage="0" equalAverage="0" bottom="0" percent="0" rank="0" text="" dxfId="14">
      <formula>ISNUMBER(SEARCH("Quick win",$M5))</formula>
    </cfRule>
    <cfRule type="expression" priority="10" aboveAverage="0" equalAverage="0" bottom="0" percent="0" rank="0" text="" dxfId="29">
      <formula>ISNUMBER(SEARCH("Alto retorno",$M5))</formula>
    </cfRule>
    <cfRule type="expression" priority="11" aboveAverage="0" equalAverage="0" bottom="0" percent="0" rank="0" text="" dxfId="34">
      <formula>ISNUMBER(SEARCH("Estratégica",$M5))</formula>
    </cfRule>
    <cfRule type="expression" priority="12" aboveAverage="0" equalAverage="0" bottom="0" percent="0" rank="0" text="" dxfId="28">
      <formula>ISNUMBER(SEARCH("Equilibrada",$M5))</formula>
    </cfRule>
    <cfRule type="expression" priority="13" aboveAverage="0" equalAverage="0" bottom="0" percent="0" rank="0" text="" dxfId="35">
      <formula>ISNUMBER(SEARCH("Baixo retorno",$M5))</formula>
    </cfRule>
  </conditionalFormatting>
  <conditionalFormatting sqref="K5:K500">
    <cfRule type="expression" priority="14" aboveAverage="0" equalAverage="0" bottom="0" percent="0" rank="0" text="" dxfId="16">
      <formula>$K5="Baixo"</formula>
    </cfRule>
    <cfRule type="expression" priority="15" aboveAverage="0" equalAverage="0" bottom="0" percent="0" rank="0" text="" dxfId="17">
      <formula>$K5="Médio"</formula>
    </cfRule>
    <cfRule type="expression" priority="16" aboveAverage="0" equalAverage="0" bottom="0" percent="0" rank="0" text="" dxfId="30">
      <formula>$K5="Alto"</formula>
    </cfRule>
  </conditionalFormatting>
  <conditionalFormatting sqref="L5:L500">
    <cfRule type="expression" priority="17" aboveAverage="0" equalAverage="0" bottom="0" percent="0" rank="0" text="" dxfId="16">
      <formula>$L5="Alto"</formula>
    </cfRule>
    <cfRule type="expression" priority="18" aboveAverage="0" equalAverage="0" bottom="0" percent="0" rank="0" text="" dxfId="17">
      <formula>$L5="Médio"</formula>
    </cfRule>
    <cfRule type="expression" priority="19" aboveAverage="0" equalAverage="0" bottom="0" percent="0" rank="0" text="" dxfId="36">
      <formula>$L5="Baixo"</formula>
    </cfRule>
  </conditionalFormatting>
  <conditionalFormatting sqref="F5:F500">
    <cfRule type="expression" priority="20" aboveAverage="0" equalAverage="0" bottom="0" percent="0" rank="0" text="" dxfId="0">
      <formula>$F5="Fonte não encontrada"</formula>
    </cfRule>
  </conditionalFormatting>
  <conditionalFormatting sqref="R5:R500">
    <cfRule type="expression" priority="21" aboveAverage="0" equalAverage="0" bottom="0" percent="0" rank="0" text="" dxfId="0">
      <formula>AND($R5&lt;&gt;"",$R5&lt;TODAY(),$P5&lt;&gt;"Implantada",$P5&lt;&gt;"Descartada")</formula>
    </cfRule>
  </conditionalFormatting>
  <dataValidations count="8">
    <dataValidation allowBlank="true" error="Digite uma data válida no formato dd/mm/aaaa." errorStyle="stop" errorTitle="Data inválida" operator="greaterThan" showDropDown="false" showErrorMessage="true" showInputMessage="false" sqref="R5:R500 T5:T500" type="date">
      <formula1>36526</formula1>
      <formula2>0</formula2>
    </dataValidation>
    <dataValidation allowBlank="true" error="Digite um valor numérico maior ou igual a zero (ex.: 350 ou 0)." errorStyle="stop" errorTitle="Valor inválido" operator="greaterThanOrEqual" showDropDown="false" showErrorMessage="true" showInputMessage="false" sqref="J5:J500" type="decimal">
      <formula1>0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C5:C500" type="list">
      <formula1>lst_Prob_MEN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lst_Fontes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G5:G500" type="list">
      <formula1>lst_ComoDescobrimos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K5:K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P5:P500" type="list">
      <formula1>lst_StatusSolucao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2C91"/>
    <pageSetUpPr fitToPage="true"/>
  </sheetPr>
  <dimension ref="A1:R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.51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5" min="5" style="0" width="17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34"/>
    <col collapsed="false" customWidth="true" hidden="false" outlineLevel="0" max="12" min="12" style="0" width="22"/>
    <col collapsed="false" customWidth="true" hidden="false" outlineLevel="0" max="13" min="13" style="0" width="17"/>
    <col collapsed="false" customWidth="true" hidden="false" outlineLevel="0" max="15" min="14" style="0" width="12"/>
    <col collapsed="false" customWidth="true" hidden="false" outlineLevel="0" max="16" min="16" style="0" width="17"/>
    <col collapsed="false" customWidth="true" hidden="false" outlineLevel="0" max="17" min="17" style="0" width="34"/>
    <col collapsed="false" customWidth="true" hidden="true" outlineLevel="1" max="18" min="18" style="0" width="30"/>
  </cols>
  <sheetData>
    <row r="1" customFormat="false" ht="31.5" hidden="false" customHeight="true" outlineLevel="0" collapsed="false">
      <c r="A1" s="83" t="s">
        <v>1000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123" t="s">
        <v>70</v>
      </c>
      <c r="B2" s="124" t="str">
        <f aca="false">"Problemas que o CEMP tem ou pode ter em: Feira de Empreendedorismo   ·   "&amp;COUNTA(B5:B500)&amp;" registro(s)"</f>
        <v>Problemas que o CEMP tem ou pode ter em: Feira de Empreendedorismo   ·   1 registro(s)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</row>
    <row r="3" customFormat="false" ht="16.5" hidden="false" customHeight="true" outlineLevel="0" collapsed="false">
      <c r="A3" s="87" t="s">
        <v>520</v>
      </c>
      <c r="B3" s="87"/>
      <c r="C3" s="87"/>
      <c r="D3" s="87"/>
      <c r="E3" s="87"/>
      <c r="F3" s="87"/>
      <c r="G3" s="88" t="s">
        <v>521</v>
      </c>
      <c r="H3" s="88"/>
      <c r="I3" s="88"/>
      <c r="J3" s="88"/>
      <c r="K3" s="89" t="s">
        <v>522</v>
      </c>
      <c r="L3" s="89"/>
      <c r="M3" s="89"/>
      <c r="N3" s="89"/>
      <c r="O3" s="90" t="s">
        <v>523</v>
      </c>
      <c r="P3" s="90"/>
      <c r="Q3" s="90"/>
      <c r="R3" s="90"/>
    </row>
    <row r="4" customFormat="false" ht="42" hidden="false" customHeight="true" outlineLevel="0" collapsed="false">
      <c r="A4" s="126" t="s">
        <v>118</v>
      </c>
      <c r="B4" s="126" t="s">
        <v>524</v>
      </c>
      <c r="C4" s="126" t="s">
        <v>525</v>
      </c>
      <c r="D4" s="126" t="s">
        <v>526</v>
      </c>
      <c r="E4" s="126" t="s">
        <v>527</v>
      </c>
      <c r="F4" s="126" t="s">
        <v>528</v>
      </c>
      <c r="G4" s="126" t="s">
        <v>529</v>
      </c>
      <c r="H4" s="126" t="s">
        <v>530</v>
      </c>
      <c r="I4" s="92" t="s">
        <v>531</v>
      </c>
      <c r="J4" s="92" t="s">
        <v>532</v>
      </c>
      <c r="K4" s="126" t="s">
        <v>533</v>
      </c>
      <c r="L4" s="126" t="s">
        <v>534</v>
      </c>
      <c r="M4" s="126" t="s">
        <v>97</v>
      </c>
      <c r="N4" s="92" t="s">
        <v>535</v>
      </c>
      <c r="O4" s="126" t="s">
        <v>536</v>
      </c>
      <c r="P4" s="126" t="s">
        <v>537</v>
      </c>
      <c r="Q4" s="126" t="s">
        <v>538</v>
      </c>
      <c r="R4" s="92" t="s">
        <v>136</v>
      </c>
    </row>
    <row r="5" customFormat="false" ht="23.85" hidden="false" customHeight="false" outlineLevel="0" collapsed="false">
      <c r="A5" s="93" t="s">
        <v>1001</v>
      </c>
      <c r="B5" s="94" t="s">
        <v>1002</v>
      </c>
      <c r="C5" s="94" t="s">
        <v>1003</v>
      </c>
      <c r="D5" s="94" t="s">
        <v>1004</v>
      </c>
      <c r="E5" s="95" t="s">
        <v>80</v>
      </c>
      <c r="F5" s="94" t="s">
        <v>1005</v>
      </c>
      <c r="G5" s="95" t="n">
        <v>5</v>
      </c>
      <c r="H5" s="95" t="n">
        <v>4</v>
      </c>
      <c r="I5" s="96" t="n">
        <f aca="false">IF(OR(G5="",H5=""),"",G5*H5)</f>
        <v>20</v>
      </c>
      <c r="J5" s="99" t="str">
        <f aca="false">IF(I5="","",IF(I5&gt;=15,"Crítica",IF(I5&gt;=9,"Alta",IF(I5&gt;=4,"Média","Baixa"))))</f>
        <v>Crítica</v>
      </c>
      <c r="K5" s="94" t="s">
        <v>1006</v>
      </c>
      <c r="L5" s="94" t="s">
        <v>1007</v>
      </c>
      <c r="M5" s="95" t="s">
        <v>1008</v>
      </c>
      <c r="N5" s="96" t="n">
        <f aca="false">IF(B5="","",COUNTIF('Feira - Soluções'!$C$5:$C$500,A5&amp;"*"))</f>
        <v>1</v>
      </c>
      <c r="O5" s="98" t="n">
        <v>46293</v>
      </c>
      <c r="P5" s="94" t="s">
        <v>547</v>
      </c>
      <c r="Q5" s="94" t="s">
        <v>548</v>
      </c>
      <c r="R5" s="100" t="str">
        <f aca="false">IF(B5="","",A5&amp;" · "&amp;B5)</f>
        <v>FEI-P001 · [EXEMPLO] Dificuldade em captar patrocínio para a Feira</v>
      </c>
    </row>
    <row r="6" customFormat="false" ht="15" hidden="false" customHeight="false" outlineLevel="0" collapsed="false">
      <c r="A6" s="101" t="s">
        <v>1009</v>
      </c>
      <c r="B6" s="102"/>
      <c r="C6" s="102"/>
      <c r="D6" s="102"/>
      <c r="E6" s="103"/>
      <c r="F6" s="102"/>
      <c r="G6" s="103"/>
      <c r="H6" s="103"/>
      <c r="I6" s="96" t="str">
        <f aca="false">IF(OR(G6="",H6=""),"",G6*H6)</f>
        <v/>
      </c>
      <c r="J6" s="99" t="str">
        <f aca="false">IF(I6="","",IF(I6&gt;=15,"Crítica",IF(I6&gt;=9,"Alta",IF(I6&gt;=4,"Média","Baixa"))))</f>
        <v/>
      </c>
      <c r="K6" s="102"/>
      <c r="L6" s="102"/>
      <c r="M6" s="103"/>
      <c r="N6" s="96" t="str">
        <f aca="false">IF(B6="","",COUNTIF('Feira - Soluções'!$C$5:$C$500,A6&amp;"*"))</f>
        <v/>
      </c>
      <c r="O6" s="104"/>
      <c r="P6" s="102"/>
      <c r="Q6" s="102"/>
      <c r="R6" s="100" t="str">
        <f aca="false">IF(B6="","",A6&amp;" · "&amp;B6)</f>
        <v/>
      </c>
    </row>
    <row r="7" customFormat="false" ht="15" hidden="false" customHeight="false" outlineLevel="0" collapsed="false">
      <c r="A7" s="93" t="s">
        <v>1010</v>
      </c>
      <c r="B7" s="105"/>
      <c r="C7" s="105"/>
      <c r="D7" s="105"/>
      <c r="E7" s="106"/>
      <c r="F7" s="105"/>
      <c r="G7" s="106"/>
      <c r="H7" s="106"/>
      <c r="I7" s="96" t="str">
        <f aca="false">IF(OR(G7="",H7=""),"",G7*H7)</f>
        <v/>
      </c>
      <c r="J7" s="99" t="str">
        <f aca="false">IF(I7="","",IF(I7&gt;=15,"Crítica",IF(I7&gt;=9,"Alta",IF(I7&gt;=4,"Média","Baixa"))))</f>
        <v/>
      </c>
      <c r="K7" s="105"/>
      <c r="L7" s="105"/>
      <c r="M7" s="106"/>
      <c r="N7" s="96" t="str">
        <f aca="false">IF(B7="","",COUNTIF('Feira - Soluções'!$C$5:$C$500,A7&amp;"*"))</f>
        <v/>
      </c>
      <c r="O7" s="107"/>
      <c r="P7" s="105"/>
      <c r="Q7" s="105"/>
      <c r="R7" s="100" t="str">
        <f aca="false">IF(B7="","",A7&amp;" · "&amp;B7)</f>
        <v/>
      </c>
    </row>
    <row r="8" customFormat="false" ht="15" hidden="false" customHeight="false" outlineLevel="0" collapsed="false">
      <c r="A8" s="101" t="s">
        <v>1011</v>
      </c>
      <c r="B8" s="102"/>
      <c r="C8" s="102"/>
      <c r="D8" s="102"/>
      <c r="E8" s="103"/>
      <c r="F8" s="102"/>
      <c r="G8" s="103"/>
      <c r="H8" s="103"/>
      <c r="I8" s="96" t="str">
        <f aca="false">IF(OR(G8="",H8=""),"",G8*H8)</f>
        <v/>
      </c>
      <c r="J8" s="99" t="str">
        <f aca="false">IF(I8="","",IF(I8&gt;=15,"Crítica",IF(I8&gt;=9,"Alta",IF(I8&gt;=4,"Média","Baixa"))))</f>
        <v/>
      </c>
      <c r="K8" s="102"/>
      <c r="L8" s="102"/>
      <c r="M8" s="103"/>
      <c r="N8" s="96" t="str">
        <f aca="false">IF(B8="","",COUNTIF('Feira - Soluções'!$C$5:$C$500,A8&amp;"*"))</f>
        <v/>
      </c>
      <c r="O8" s="104"/>
      <c r="P8" s="102"/>
      <c r="Q8" s="102"/>
      <c r="R8" s="100" t="str">
        <f aca="false">IF(B8="","",A8&amp;" · "&amp;B8)</f>
        <v/>
      </c>
    </row>
    <row r="9" customFormat="false" ht="15" hidden="false" customHeight="false" outlineLevel="0" collapsed="false">
      <c r="A9" s="93" t="s">
        <v>1012</v>
      </c>
      <c r="B9" s="105"/>
      <c r="C9" s="105"/>
      <c r="D9" s="105"/>
      <c r="E9" s="106"/>
      <c r="F9" s="105"/>
      <c r="G9" s="106"/>
      <c r="H9" s="106"/>
      <c r="I9" s="96" t="str">
        <f aca="false">IF(OR(G9="",H9=""),"",G9*H9)</f>
        <v/>
      </c>
      <c r="J9" s="99" t="str">
        <f aca="false">IF(I9="","",IF(I9&gt;=15,"Crítica",IF(I9&gt;=9,"Alta",IF(I9&gt;=4,"Média","Baixa"))))</f>
        <v/>
      </c>
      <c r="K9" s="105"/>
      <c r="L9" s="105"/>
      <c r="M9" s="106"/>
      <c r="N9" s="96" t="str">
        <f aca="false">IF(B9="","",COUNTIF('Feira - Soluções'!$C$5:$C$500,A9&amp;"*"))</f>
        <v/>
      </c>
      <c r="O9" s="107"/>
      <c r="P9" s="105"/>
      <c r="Q9" s="105"/>
      <c r="R9" s="100" t="str">
        <f aca="false">IF(B9="","",A9&amp;" · "&amp;B9)</f>
        <v/>
      </c>
    </row>
    <row r="10" customFormat="false" ht="15" hidden="false" customHeight="false" outlineLevel="0" collapsed="false">
      <c r="A10" s="101" t="s">
        <v>1013</v>
      </c>
      <c r="B10" s="102"/>
      <c r="C10" s="102"/>
      <c r="D10" s="102"/>
      <c r="E10" s="103"/>
      <c r="F10" s="102"/>
      <c r="G10" s="103"/>
      <c r="H10" s="103"/>
      <c r="I10" s="96" t="str">
        <f aca="false">IF(OR(G10="",H10=""),"",G10*H10)</f>
        <v/>
      </c>
      <c r="J10" s="99" t="str">
        <f aca="false">IF(I10="","",IF(I10&gt;=15,"Crítica",IF(I10&gt;=9,"Alta",IF(I10&gt;=4,"Média","Baixa"))))</f>
        <v/>
      </c>
      <c r="K10" s="102"/>
      <c r="L10" s="102"/>
      <c r="M10" s="103"/>
      <c r="N10" s="96" t="str">
        <f aca="false">IF(B10="","",COUNTIF('Feira - Soluções'!$C$5:$C$500,A10&amp;"*"))</f>
        <v/>
      </c>
      <c r="O10" s="104"/>
      <c r="P10" s="102"/>
      <c r="Q10" s="102"/>
      <c r="R10" s="100" t="str">
        <f aca="false">IF(B10="","",A10&amp;" · "&amp;B10)</f>
        <v/>
      </c>
    </row>
    <row r="11" customFormat="false" ht="15" hidden="false" customHeight="false" outlineLevel="0" collapsed="false">
      <c r="A11" s="93" t="s">
        <v>1014</v>
      </c>
      <c r="B11" s="105"/>
      <c r="C11" s="105"/>
      <c r="D11" s="105"/>
      <c r="E11" s="106"/>
      <c r="F11" s="105"/>
      <c r="G11" s="106"/>
      <c r="H11" s="106"/>
      <c r="I11" s="96" t="str">
        <f aca="false">IF(OR(G11="",H11=""),"",G11*H11)</f>
        <v/>
      </c>
      <c r="J11" s="99" t="str">
        <f aca="false">IF(I11="","",IF(I11&gt;=15,"Crítica",IF(I11&gt;=9,"Alta",IF(I11&gt;=4,"Média","Baixa"))))</f>
        <v/>
      </c>
      <c r="K11" s="105"/>
      <c r="L11" s="105"/>
      <c r="M11" s="106"/>
      <c r="N11" s="96" t="str">
        <f aca="false">IF(B11="","",COUNTIF('Feira - Soluções'!$C$5:$C$500,A11&amp;"*"))</f>
        <v/>
      </c>
      <c r="O11" s="107"/>
      <c r="P11" s="105"/>
      <c r="Q11" s="105"/>
      <c r="R11" s="100" t="str">
        <f aca="false">IF(B11="","",A11&amp;" · "&amp;B11)</f>
        <v/>
      </c>
    </row>
    <row r="12" customFormat="false" ht="15" hidden="false" customHeight="false" outlineLevel="0" collapsed="false">
      <c r="A12" s="101" t="s">
        <v>1015</v>
      </c>
      <c r="B12" s="102"/>
      <c r="C12" s="102"/>
      <c r="D12" s="102"/>
      <c r="E12" s="103"/>
      <c r="F12" s="102"/>
      <c r="G12" s="103"/>
      <c r="H12" s="103"/>
      <c r="I12" s="96" t="str">
        <f aca="false">IF(OR(G12="",H12=""),"",G12*H12)</f>
        <v/>
      </c>
      <c r="J12" s="99" t="str">
        <f aca="false">IF(I12="","",IF(I12&gt;=15,"Crítica",IF(I12&gt;=9,"Alta",IF(I12&gt;=4,"Média","Baixa"))))</f>
        <v/>
      </c>
      <c r="K12" s="102"/>
      <c r="L12" s="102"/>
      <c r="M12" s="103"/>
      <c r="N12" s="96" t="str">
        <f aca="false">IF(B12="","",COUNTIF('Feira - Soluções'!$C$5:$C$500,A12&amp;"*"))</f>
        <v/>
      </c>
      <c r="O12" s="104"/>
      <c r="P12" s="102"/>
      <c r="Q12" s="102"/>
      <c r="R12" s="100" t="str">
        <f aca="false">IF(B12="","",A12&amp;" · "&amp;B12)</f>
        <v/>
      </c>
    </row>
    <row r="13" customFormat="false" ht="15" hidden="false" customHeight="false" outlineLevel="0" collapsed="false">
      <c r="A13" s="93" t="s">
        <v>1016</v>
      </c>
      <c r="B13" s="105"/>
      <c r="C13" s="105"/>
      <c r="D13" s="105"/>
      <c r="E13" s="106"/>
      <c r="F13" s="105"/>
      <c r="G13" s="106"/>
      <c r="H13" s="106"/>
      <c r="I13" s="96" t="str">
        <f aca="false">IF(OR(G13="",H13=""),"",G13*H13)</f>
        <v/>
      </c>
      <c r="J13" s="99" t="str">
        <f aca="false">IF(I13="","",IF(I13&gt;=15,"Crítica",IF(I13&gt;=9,"Alta",IF(I13&gt;=4,"Média","Baixa"))))</f>
        <v/>
      </c>
      <c r="K13" s="105"/>
      <c r="L13" s="105"/>
      <c r="M13" s="106"/>
      <c r="N13" s="96" t="str">
        <f aca="false">IF(B13="","",COUNTIF('Feira - Soluções'!$C$5:$C$500,A13&amp;"*"))</f>
        <v/>
      </c>
      <c r="O13" s="107"/>
      <c r="P13" s="105"/>
      <c r="Q13" s="105"/>
      <c r="R13" s="100" t="str">
        <f aca="false">IF(B13="","",A13&amp;" · "&amp;B13)</f>
        <v/>
      </c>
    </row>
    <row r="14" customFormat="false" ht="15" hidden="false" customHeight="false" outlineLevel="0" collapsed="false">
      <c r="A14" s="101" t="s">
        <v>1017</v>
      </c>
      <c r="B14" s="102"/>
      <c r="C14" s="102"/>
      <c r="D14" s="102"/>
      <c r="E14" s="103"/>
      <c r="F14" s="102"/>
      <c r="G14" s="103"/>
      <c r="H14" s="103"/>
      <c r="I14" s="96" t="str">
        <f aca="false">IF(OR(G14="",H14=""),"",G14*H14)</f>
        <v/>
      </c>
      <c r="J14" s="99" t="str">
        <f aca="false">IF(I14="","",IF(I14&gt;=15,"Crítica",IF(I14&gt;=9,"Alta",IF(I14&gt;=4,"Média","Baixa"))))</f>
        <v/>
      </c>
      <c r="K14" s="102"/>
      <c r="L14" s="102"/>
      <c r="M14" s="103"/>
      <c r="N14" s="96" t="str">
        <f aca="false">IF(B14="","",COUNTIF('Feira - Soluções'!$C$5:$C$500,A14&amp;"*"))</f>
        <v/>
      </c>
      <c r="O14" s="104"/>
      <c r="P14" s="102"/>
      <c r="Q14" s="102"/>
      <c r="R14" s="100" t="str">
        <f aca="false">IF(B14="","",A14&amp;" · "&amp;B14)</f>
        <v/>
      </c>
    </row>
    <row r="15" customFormat="false" ht="15" hidden="false" customHeight="false" outlineLevel="0" collapsed="false">
      <c r="A15" s="93" t="s">
        <v>1018</v>
      </c>
      <c r="B15" s="105"/>
      <c r="C15" s="105"/>
      <c r="D15" s="105"/>
      <c r="E15" s="106"/>
      <c r="F15" s="105"/>
      <c r="G15" s="106"/>
      <c r="H15" s="106"/>
      <c r="I15" s="96" t="str">
        <f aca="false">IF(OR(G15="",H15=""),"",G15*H15)</f>
        <v/>
      </c>
      <c r="J15" s="99" t="str">
        <f aca="false">IF(I15="","",IF(I15&gt;=15,"Crítica",IF(I15&gt;=9,"Alta",IF(I15&gt;=4,"Média","Baixa"))))</f>
        <v/>
      </c>
      <c r="K15" s="105"/>
      <c r="L15" s="105"/>
      <c r="M15" s="106"/>
      <c r="N15" s="96" t="str">
        <f aca="false">IF(B15="","",COUNTIF('Feira - Soluções'!$C$5:$C$500,A15&amp;"*"))</f>
        <v/>
      </c>
      <c r="O15" s="107"/>
      <c r="P15" s="105"/>
      <c r="Q15" s="105"/>
      <c r="R15" s="100" t="str">
        <f aca="false">IF(B15="","",A15&amp;" · "&amp;B15)</f>
        <v/>
      </c>
    </row>
    <row r="16" customFormat="false" ht="15" hidden="false" customHeight="false" outlineLevel="0" collapsed="false">
      <c r="A16" s="101" t="s">
        <v>1019</v>
      </c>
      <c r="B16" s="102"/>
      <c r="C16" s="102"/>
      <c r="D16" s="102"/>
      <c r="E16" s="103"/>
      <c r="F16" s="102"/>
      <c r="G16" s="103"/>
      <c r="H16" s="103"/>
      <c r="I16" s="96" t="str">
        <f aca="false">IF(OR(G16="",H16=""),"",G16*H16)</f>
        <v/>
      </c>
      <c r="J16" s="99" t="str">
        <f aca="false">IF(I16="","",IF(I16&gt;=15,"Crítica",IF(I16&gt;=9,"Alta",IF(I16&gt;=4,"Média","Baixa"))))</f>
        <v/>
      </c>
      <c r="K16" s="102"/>
      <c r="L16" s="102"/>
      <c r="M16" s="103"/>
      <c r="N16" s="96" t="str">
        <f aca="false">IF(B16="","",COUNTIF('Feira - Soluções'!$C$5:$C$500,A16&amp;"*"))</f>
        <v/>
      </c>
      <c r="O16" s="104"/>
      <c r="P16" s="102"/>
      <c r="Q16" s="102"/>
      <c r="R16" s="100" t="str">
        <f aca="false">IF(B16="","",A16&amp;" · "&amp;B16)</f>
        <v/>
      </c>
    </row>
    <row r="17" customFormat="false" ht="15" hidden="false" customHeight="false" outlineLevel="0" collapsed="false">
      <c r="A17" s="93" t="s">
        <v>1020</v>
      </c>
      <c r="B17" s="105"/>
      <c r="C17" s="105"/>
      <c r="D17" s="105"/>
      <c r="E17" s="106"/>
      <c r="F17" s="105"/>
      <c r="G17" s="106"/>
      <c r="H17" s="106"/>
      <c r="I17" s="96" t="str">
        <f aca="false">IF(OR(G17="",H17=""),"",G17*H17)</f>
        <v/>
      </c>
      <c r="J17" s="99" t="str">
        <f aca="false">IF(I17="","",IF(I17&gt;=15,"Crítica",IF(I17&gt;=9,"Alta",IF(I17&gt;=4,"Média","Baixa"))))</f>
        <v/>
      </c>
      <c r="K17" s="105"/>
      <c r="L17" s="105"/>
      <c r="M17" s="106"/>
      <c r="N17" s="96" t="str">
        <f aca="false">IF(B17="","",COUNTIF('Feira - Soluções'!$C$5:$C$500,A17&amp;"*"))</f>
        <v/>
      </c>
      <c r="O17" s="107"/>
      <c r="P17" s="105"/>
      <c r="Q17" s="105"/>
      <c r="R17" s="100" t="str">
        <f aca="false">IF(B17="","",A17&amp;" · "&amp;B17)</f>
        <v/>
      </c>
    </row>
    <row r="18" customFormat="false" ht="15" hidden="false" customHeight="false" outlineLevel="0" collapsed="false">
      <c r="A18" s="101" t="s">
        <v>1021</v>
      </c>
      <c r="B18" s="102"/>
      <c r="C18" s="102"/>
      <c r="D18" s="102"/>
      <c r="E18" s="103"/>
      <c r="F18" s="102"/>
      <c r="G18" s="103"/>
      <c r="H18" s="103"/>
      <c r="I18" s="96" t="str">
        <f aca="false">IF(OR(G18="",H18=""),"",G18*H18)</f>
        <v/>
      </c>
      <c r="J18" s="99" t="str">
        <f aca="false">IF(I18="","",IF(I18&gt;=15,"Crítica",IF(I18&gt;=9,"Alta",IF(I18&gt;=4,"Média","Baixa"))))</f>
        <v/>
      </c>
      <c r="K18" s="102"/>
      <c r="L18" s="102"/>
      <c r="M18" s="103"/>
      <c r="N18" s="96" t="str">
        <f aca="false">IF(B18="","",COUNTIF('Feira - Soluções'!$C$5:$C$500,A18&amp;"*"))</f>
        <v/>
      </c>
      <c r="O18" s="104"/>
      <c r="P18" s="102"/>
      <c r="Q18" s="102"/>
      <c r="R18" s="100" t="str">
        <f aca="false">IF(B18="","",A18&amp;" · "&amp;B18)</f>
        <v/>
      </c>
    </row>
    <row r="19" customFormat="false" ht="15" hidden="false" customHeight="false" outlineLevel="0" collapsed="false">
      <c r="A19" s="93" t="s">
        <v>1022</v>
      </c>
      <c r="B19" s="105"/>
      <c r="C19" s="105"/>
      <c r="D19" s="105"/>
      <c r="E19" s="106"/>
      <c r="F19" s="105"/>
      <c r="G19" s="106"/>
      <c r="H19" s="106"/>
      <c r="I19" s="96" t="str">
        <f aca="false">IF(OR(G19="",H19=""),"",G19*H19)</f>
        <v/>
      </c>
      <c r="J19" s="99" t="str">
        <f aca="false">IF(I19="","",IF(I19&gt;=15,"Crítica",IF(I19&gt;=9,"Alta",IF(I19&gt;=4,"Média","Baixa"))))</f>
        <v/>
      </c>
      <c r="K19" s="105"/>
      <c r="L19" s="105"/>
      <c r="M19" s="106"/>
      <c r="N19" s="96" t="str">
        <f aca="false">IF(B19="","",COUNTIF('Feira - Soluções'!$C$5:$C$500,A19&amp;"*"))</f>
        <v/>
      </c>
      <c r="O19" s="107"/>
      <c r="P19" s="105"/>
      <c r="Q19" s="105"/>
      <c r="R19" s="100" t="str">
        <f aca="false">IF(B19="","",A19&amp;" · "&amp;B19)</f>
        <v/>
      </c>
    </row>
    <row r="20" customFormat="false" ht="15" hidden="false" customHeight="false" outlineLevel="0" collapsed="false">
      <c r="A20" s="101" t="s">
        <v>1023</v>
      </c>
      <c r="B20" s="102"/>
      <c r="C20" s="102"/>
      <c r="D20" s="102"/>
      <c r="E20" s="103"/>
      <c r="F20" s="102"/>
      <c r="G20" s="103"/>
      <c r="H20" s="103"/>
      <c r="I20" s="96" t="str">
        <f aca="false">IF(OR(G20="",H20=""),"",G20*H20)</f>
        <v/>
      </c>
      <c r="J20" s="99" t="str">
        <f aca="false">IF(I20="","",IF(I20&gt;=15,"Crítica",IF(I20&gt;=9,"Alta",IF(I20&gt;=4,"Média","Baixa"))))</f>
        <v/>
      </c>
      <c r="K20" s="102"/>
      <c r="L20" s="102"/>
      <c r="M20" s="103"/>
      <c r="N20" s="96" t="str">
        <f aca="false">IF(B20="","",COUNTIF('Feira - Soluções'!$C$5:$C$500,A20&amp;"*"))</f>
        <v/>
      </c>
      <c r="O20" s="104"/>
      <c r="P20" s="102"/>
      <c r="Q20" s="102"/>
      <c r="R20" s="100" t="str">
        <f aca="false">IF(B20="","",A20&amp;" · "&amp;B20)</f>
        <v/>
      </c>
    </row>
    <row r="21" customFormat="false" ht="15" hidden="false" customHeight="false" outlineLevel="0" collapsed="false">
      <c r="A21" s="93" t="s">
        <v>1024</v>
      </c>
      <c r="B21" s="105"/>
      <c r="C21" s="105"/>
      <c r="D21" s="105"/>
      <c r="E21" s="106"/>
      <c r="F21" s="105"/>
      <c r="G21" s="106"/>
      <c r="H21" s="106"/>
      <c r="I21" s="96" t="str">
        <f aca="false">IF(OR(G21="",H21=""),"",G21*H21)</f>
        <v/>
      </c>
      <c r="J21" s="99" t="str">
        <f aca="false">IF(I21="","",IF(I21&gt;=15,"Crítica",IF(I21&gt;=9,"Alta",IF(I21&gt;=4,"Média","Baixa"))))</f>
        <v/>
      </c>
      <c r="K21" s="105"/>
      <c r="L21" s="105"/>
      <c r="M21" s="106"/>
      <c r="N21" s="96" t="str">
        <f aca="false">IF(B21="","",COUNTIF('Feira - Soluções'!$C$5:$C$500,A21&amp;"*"))</f>
        <v/>
      </c>
      <c r="O21" s="107"/>
      <c r="P21" s="105"/>
      <c r="Q21" s="105"/>
      <c r="R21" s="100" t="str">
        <f aca="false">IF(B21="","",A21&amp;" · "&amp;B21)</f>
        <v/>
      </c>
    </row>
    <row r="22" customFormat="false" ht="15" hidden="false" customHeight="false" outlineLevel="0" collapsed="false">
      <c r="A22" s="101" t="s">
        <v>1025</v>
      </c>
      <c r="B22" s="102"/>
      <c r="C22" s="102"/>
      <c r="D22" s="102"/>
      <c r="E22" s="103"/>
      <c r="F22" s="102"/>
      <c r="G22" s="103"/>
      <c r="H22" s="103"/>
      <c r="I22" s="96" t="str">
        <f aca="false">IF(OR(G22="",H22=""),"",G22*H22)</f>
        <v/>
      </c>
      <c r="J22" s="99" t="str">
        <f aca="false">IF(I22="","",IF(I22&gt;=15,"Crítica",IF(I22&gt;=9,"Alta",IF(I22&gt;=4,"Média","Baixa"))))</f>
        <v/>
      </c>
      <c r="K22" s="102"/>
      <c r="L22" s="102"/>
      <c r="M22" s="103"/>
      <c r="N22" s="96" t="str">
        <f aca="false">IF(B22="","",COUNTIF('Feira - Soluções'!$C$5:$C$500,A22&amp;"*"))</f>
        <v/>
      </c>
      <c r="O22" s="104"/>
      <c r="P22" s="102"/>
      <c r="Q22" s="102"/>
      <c r="R22" s="100" t="str">
        <f aca="false">IF(B22="","",A22&amp;" · "&amp;B22)</f>
        <v/>
      </c>
    </row>
    <row r="23" customFormat="false" ht="15" hidden="false" customHeight="false" outlineLevel="0" collapsed="false">
      <c r="A23" s="93" t="s">
        <v>1026</v>
      </c>
      <c r="B23" s="105"/>
      <c r="C23" s="105"/>
      <c r="D23" s="105"/>
      <c r="E23" s="106"/>
      <c r="F23" s="105"/>
      <c r="G23" s="106"/>
      <c r="H23" s="106"/>
      <c r="I23" s="96" t="str">
        <f aca="false">IF(OR(G23="",H23=""),"",G23*H23)</f>
        <v/>
      </c>
      <c r="J23" s="99" t="str">
        <f aca="false">IF(I23="","",IF(I23&gt;=15,"Crítica",IF(I23&gt;=9,"Alta",IF(I23&gt;=4,"Média","Baixa"))))</f>
        <v/>
      </c>
      <c r="K23" s="105"/>
      <c r="L23" s="105"/>
      <c r="M23" s="106"/>
      <c r="N23" s="96" t="str">
        <f aca="false">IF(B23="","",COUNTIF('Feira - Soluções'!$C$5:$C$500,A23&amp;"*"))</f>
        <v/>
      </c>
      <c r="O23" s="107"/>
      <c r="P23" s="105"/>
      <c r="Q23" s="105"/>
      <c r="R23" s="100" t="str">
        <f aca="false">IF(B23="","",A23&amp;" · "&amp;B23)</f>
        <v/>
      </c>
    </row>
    <row r="24" customFormat="false" ht="15" hidden="false" customHeight="false" outlineLevel="0" collapsed="false">
      <c r="A24" s="101" t="s">
        <v>1027</v>
      </c>
      <c r="B24" s="102"/>
      <c r="C24" s="102"/>
      <c r="D24" s="102"/>
      <c r="E24" s="103"/>
      <c r="F24" s="102"/>
      <c r="G24" s="103"/>
      <c r="H24" s="103"/>
      <c r="I24" s="96" t="str">
        <f aca="false">IF(OR(G24="",H24=""),"",G24*H24)</f>
        <v/>
      </c>
      <c r="J24" s="99" t="str">
        <f aca="false">IF(I24="","",IF(I24&gt;=15,"Crítica",IF(I24&gt;=9,"Alta",IF(I24&gt;=4,"Média","Baixa"))))</f>
        <v/>
      </c>
      <c r="K24" s="102"/>
      <c r="L24" s="102"/>
      <c r="M24" s="103"/>
      <c r="N24" s="96" t="str">
        <f aca="false">IF(B24="","",COUNTIF('Feira - Soluções'!$C$5:$C$500,A24&amp;"*"))</f>
        <v/>
      </c>
      <c r="O24" s="104"/>
      <c r="P24" s="102"/>
      <c r="Q24" s="102"/>
      <c r="R24" s="100" t="str">
        <f aca="false">IF(B24="","",A24&amp;" · "&amp;B24)</f>
        <v/>
      </c>
    </row>
    <row r="25" customFormat="false" ht="15" hidden="false" customHeight="false" outlineLevel="0" collapsed="false">
      <c r="A25" s="93" t="s">
        <v>1028</v>
      </c>
      <c r="B25" s="105"/>
      <c r="C25" s="105"/>
      <c r="D25" s="105"/>
      <c r="E25" s="106"/>
      <c r="F25" s="105"/>
      <c r="G25" s="106"/>
      <c r="H25" s="106"/>
      <c r="I25" s="96" t="str">
        <f aca="false">IF(OR(G25="",H25=""),"",G25*H25)</f>
        <v/>
      </c>
      <c r="J25" s="99" t="str">
        <f aca="false">IF(I25="","",IF(I25&gt;=15,"Crítica",IF(I25&gt;=9,"Alta",IF(I25&gt;=4,"Média","Baixa"))))</f>
        <v/>
      </c>
      <c r="K25" s="105"/>
      <c r="L25" s="105"/>
      <c r="M25" s="106"/>
      <c r="N25" s="96" t="str">
        <f aca="false">IF(B25="","",COUNTIF('Feira - Soluções'!$C$5:$C$500,A25&amp;"*"))</f>
        <v/>
      </c>
      <c r="O25" s="107"/>
      <c r="P25" s="105"/>
      <c r="Q25" s="105"/>
      <c r="R25" s="100" t="str">
        <f aca="false">IF(B25="","",A25&amp;" · "&amp;B25)</f>
        <v/>
      </c>
    </row>
    <row r="26" customFormat="false" ht="15" hidden="false" customHeight="false" outlineLevel="0" collapsed="false">
      <c r="A26" s="101" t="s">
        <v>1029</v>
      </c>
      <c r="B26" s="102"/>
      <c r="C26" s="102"/>
      <c r="D26" s="102"/>
      <c r="E26" s="103"/>
      <c r="F26" s="102"/>
      <c r="G26" s="103"/>
      <c r="H26" s="103"/>
      <c r="I26" s="96" t="str">
        <f aca="false">IF(OR(G26="",H26=""),"",G26*H26)</f>
        <v/>
      </c>
      <c r="J26" s="99" t="str">
        <f aca="false">IF(I26="","",IF(I26&gt;=15,"Crítica",IF(I26&gt;=9,"Alta",IF(I26&gt;=4,"Média","Baixa"))))</f>
        <v/>
      </c>
      <c r="K26" s="102"/>
      <c r="L26" s="102"/>
      <c r="M26" s="103"/>
      <c r="N26" s="96" t="str">
        <f aca="false">IF(B26="","",COUNTIF('Feira - Soluções'!$C$5:$C$500,A26&amp;"*"))</f>
        <v/>
      </c>
      <c r="O26" s="104"/>
      <c r="P26" s="102"/>
      <c r="Q26" s="102"/>
      <c r="R26" s="100" t="str">
        <f aca="false">IF(B26="","",A26&amp;" · "&amp;B26)</f>
        <v/>
      </c>
    </row>
    <row r="27" customFormat="false" ht="15" hidden="false" customHeight="false" outlineLevel="0" collapsed="false">
      <c r="A27" s="93" t="s">
        <v>1030</v>
      </c>
      <c r="B27" s="105"/>
      <c r="C27" s="105"/>
      <c r="D27" s="105"/>
      <c r="E27" s="106"/>
      <c r="F27" s="105"/>
      <c r="G27" s="106"/>
      <c r="H27" s="106"/>
      <c r="I27" s="96" t="str">
        <f aca="false">IF(OR(G27="",H27=""),"",G27*H27)</f>
        <v/>
      </c>
      <c r="J27" s="99" t="str">
        <f aca="false">IF(I27="","",IF(I27&gt;=15,"Crítica",IF(I27&gt;=9,"Alta",IF(I27&gt;=4,"Média","Baixa"))))</f>
        <v/>
      </c>
      <c r="K27" s="105"/>
      <c r="L27" s="105"/>
      <c r="M27" s="106"/>
      <c r="N27" s="96" t="str">
        <f aca="false">IF(B27="","",COUNTIF('Feira - Soluções'!$C$5:$C$500,A27&amp;"*"))</f>
        <v/>
      </c>
      <c r="O27" s="107"/>
      <c r="P27" s="105"/>
      <c r="Q27" s="105"/>
      <c r="R27" s="100" t="str">
        <f aca="false">IF(B27="","",A27&amp;" · "&amp;B27)</f>
        <v/>
      </c>
    </row>
    <row r="28" customFormat="false" ht="15" hidden="false" customHeight="false" outlineLevel="0" collapsed="false">
      <c r="A28" s="101" t="s">
        <v>1031</v>
      </c>
      <c r="B28" s="102"/>
      <c r="C28" s="102"/>
      <c r="D28" s="102"/>
      <c r="E28" s="103"/>
      <c r="F28" s="102"/>
      <c r="G28" s="103"/>
      <c r="H28" s="103"/>
      <c r="I28" s="96" t="str">
        <f aca="false">IF(OR(G28="",H28=""),"",G28*H28)</f>
        <v/>
      </c>
      <c r="J28" s="99" t="str">
        <f aca="false">IF(I28="","",IF(I28&gt;=15,"Crítica",IF(I28&gt;=9,"Alta",IF(I28&gt;=4,"Média","Baixa"))))</f>
        <v/>
      </c>
      <c r="K28" s="102"/>
      <c r="L28" s="102"/>
      <c r="M28" s="103"/>
      <c r="N28" s="96" t="str">
        <f aca="false">IF(B28="","",COUNTIF('Feira - Soluções'!$C$5:$C$500,A28&amp;"*"))</f>
        <v/>
      </c>
      <c r="O28" s="104"/>
      <c r="P28" s="102"/>
      <c r="Q28" s="102"/>
      <c r="R28" s="100" t="str">
        <f aca="false">IF(B28="","",A28&amp;" · "&amp;B28)</f>
        <v/>
      </c>
    </row>
    <row r="29" customFormat="false" ht="15" hidden="false" customHeight="false" outlineLevel="0" collapsed="false">
      <c r="A29" s="93" t="s">
        <v>1032</v>
      </c>
      <c r="B29" s="105"/>
      <c r="C29" s="105"/>
      <c r="D29" s="105"/>
      <c r="E29" s="106"/>
      <c r="F29" s="105"/>
      <c r="G29" s="106"/>
      <c r="H29" s="106"/>
      <c r="I29" s="96" t="str">
        <f aca="false">IF(OR(G29="",H29=""),"",G29*H29)</f>
        <v/>
      </c>
      <c r="J29" s="99" t="str">
        <f aca="false">IF(I29="","",IF(I29&gt;=15,"Crítica",IF(I29&gt;=9,"Alta",IF(I29&gt;=4,"Média","Baixa"))))</f>
        <v/>
      </c>
      <c r="K29" s="105"/>
      <c r="L29" s="105"/>
      <c r="M29" s="106"/>
      <c r="N29" s="96" t="str">
        <f aca="false">IF(B29="","",COUNTIF('Feira - Soluções'!$C$5:$C$500,A29&amp;"*"))</f>
        <v/>
      </c>
      <c r="O29" s="107"/>
      <c r="P29" s="105"/>
      <c r="Q29" s="105"/>
      <c r="R29" s="100" t="str">
        <f aca="false">IF(B29="","",A29&amp;" · "&amp;B29)</f>
        <v/>
      </c>
    </row>
    <row r="30" customFormat="false" ht="15" hidden="false" customHeight="false" outlineLevel="0" collapsed="false">
      <c r="A30" s="101" t="s">
        <v>1033</v>
      </c>
      <c r="B30" s="102"/>
      <c r="C30" s="102"/>
      <c r="D30" s="102"/>
      <c r="E30" s="103"/>
      <c r="F30" s="102"/>
      <c r="G30" s="103"/>
      <c r="H30" s="103"/>
      <c r="I30" s="96" t="str">
        <f aca="false">IF(OR(G30="",H30=""),"",G30*H30)</f>
        <v/>
      </c>
      <c r="J30" s="99" t="str">
        <f aca="false">IF(I30="","",IF(I30&gt;=15,"Crítica",IF(I30&gt;=9,"Alta",IF(I30&gt;=4,"Média","Baixa"))))</f>
        <v/>
      </c>
      <c r="K30" s="102"/>
      <c r="L30" s="102"/>
      <c r="M30" s="103"/>
      <c r="N30" s="96" t="str">
        <f aca="false">IF(B30="","",COUNTIF('Feira - Soluções'!$C$5:$C$500,A30&amp;"*"))</f>
        <v/>
      </c>
      <c r="O30" s="104"/>
      <c r="P30" s="102"/>
      <c r="Q30" s="102"/>
      <c r="R30" s="100" t="str">
        <f aca="false">IF(B30="","",A30&amp;" · "&amp;B30)</f>
        <v/>
      </c>
    </row>
    <row r="31" customFormat="false" ht="15" hidden="false" customHeight="false" outlineLevel="0" collapsed="false">
      <c r="A31" s="93" t="s">
        <v>1034</v>
      </c>
      <c r="B31" s="105"/>
      <c r="C31" s="105"/>
      <c r="D31" s="105"/>
      <c r="E31" s="106"/>
      <c r="F31" s="105"/>
      <c r="G31" s="106"/>
      <c r="H31" s="106"/>
      <c r="I31" s="96" t="str">
        <f aca="false">IF(OR(G31="",H31=""),"",G31*H31)</f>
        <v/>
      </c>
      <c r="J31" s="99" t="str">
        <f aca="false">IF(I31="","",IF(I31&gt;=15,"Crítica",IF(I31&gt;=9,"Alta",IF(I31&gt;=4,"Média","Baixa"))))</f>
        <v/>
      </c>
      <c r="K31" s="105"/>
      <c r="L31" s="105"/>
      <c r="M31" s="106"/>
      <c r="N31" s="96" t="str">
        <f aca="false">IF(B31="","",COUNTIF('Feira - Soluções'!$C$5:$C$500,A31&amp;"*"))</f>
        <v/>
      </c>
      <c r="O31" s="107"/>
      <c r="P31" s="105"/>
      <c r="Q31" s="105"/>
      <c r="R31" s="100" t="str">
        <f aca="false">IF(B31="","",A31&amp;" · "&amp;B31)</f>
        <v/>
      </c>
    </row>
    <row r="32" customFormat="false" ht="15" hidden="false" customHeight="false" outlineLevel="0" collapsed="false">
      <c r="A32" s="101" t="s">
        <v>1035</v>
      </c>
      <c r="B32" s="102"/>
      <c r="C32" s="102"/>
      <c r="D32" s="102"/>
      <c r="E32" s="103"/>
      <c r="F32" s="102"/>
      <c r="G32" s="103"/>
      <c r="H32" s="103"/>
      <c r="I32" s="96" t="str">
        <f aca="false">IF(OR(G32="",H32=""),"",G32*H32)</f>
        <v/>
      </c>
      <c r="J32" s="99" t="str">
        <f aca="false">IF(I32="","",IF(I32&gt;=15,"Crítica",IF(I32&gt;=9,"Alta",IF(I32&gt;=4,"Média","Baixa"))))</f>
        <v/>
      </c>
      <c r="K32" s="102"/>
      <c r="L32" s="102"/>
      <c r="M32" s="103"/>
      <c r="N32" s="96" t="str">
        <f aca="false">IF(B32="","",COUNTIF('Feira - Soluções'!$C$5:$C$500,A32&amp;"*"))</f>
        <v/>
      </c>
      <c r="O32" s="104"/>
      <c r="P32" s="102"/>
      <c r="Q32" s="102"/>
      <c r="R32" s="100" t="str">
        <f aca="false">IF(B32="","",A32&amp;" · "&amp;B32)</f>
        <v/>
      </c>
    </row>
    <row r="33" customFormat="false" ht="15" hidden="false" customHeight="false" outlineLevel="0" collapsed="false">
      <c r="A33" s="93" t="s">
        <v>1036</v>
      </c>
      <c r="B33" s="105"/>
      <c r="C33" s="105"/>
      <c r="D33" s="105"/>
      <c r="E33" s="106"/>
      <c r="F33" s="105"/>
      <c r="G33" s="106"/>
      <c r="H33" s="106"/>
      <c r="I33" s="96" t="str">
        <f aca="false">IF(OR(G33="",H33=""),"",G33*H33)</f>
        <v/>
      </c>
      <c r="J33" s="99" t="str">
        <f aca="false">IF(I33="","",IF(I33&gt;=15,"Crítica",IF(I33&gt;=9,"Alta",IF(I33&gt;=4,"Média","Baixa"))))</f>
        <v/>
      </c>
      <c r="K33" s="105"/>
      <c r="L33" s="105"/>
      <c r="M33" s="106"/>
      <c r="N33" s="96" t="str">
        <f aca="false">IF(B33="","",COUNTIF('Feira - Soluções'!$C$5:$C$500,A33&amp;"*"))</f>
        <v/>
      </c>
      <c r="O33" s="107"/>
      <c r="P33" s="105"/>
      <c r="Q33" s="105"/>
      <c r="R33" s="100" t="str">
        <f aca="false">IF(B33="","",A33&amp;" · "&amp;B33)</f>
        <v/>
      </c>
    </row>
    <row r="34" customFormat="false" ht="15" hidden="false" customHeight="false" outlineLevel="0" collapsed="false">
      <c r="A34" s="101" t="s">
        <v>1037</v>
      </c>
      <c r="B34" s="102"/>
      <c r="C34" s="102"/>
      <c r="D34" s="102"/>
      <c r="E34" s="103"/>
      <c r="F34" s="102"/>
      <c r="G34" s="103"/>
      <c r="H34" s="103"/>
      <c r="I34" s="96" t="str">
        <f aca="false">IF(OR(G34="",H34=""),"",G34*H34)</f>
        <v/>
      </c>
      <c r="J34" s="99" t="str">
        <f aca="false">IF(I34="","",IF(I34&gt;=15,"Crítica",IF(I34&gt;=9,"Alta",IF(I34&gt;=4,"Média","Baixa"))))</f>
        <v/>
      </c>
      <c r="K34" s="102"/>
      <c r="L34" s="102"/>
      <c r="M34" s="103"/>
      <c r="N34" s="96" t="str">
        <f aca="false">IF(B34="","",COUNTIF('Feira - Soluções'!$C$5:$C$500,A34&amp;"*"))</f>
        <v/>
      </c>
      <c r="O34" s="104"/>
      <c r="P34" s="102"/>
      <c r="Q34" s="102"/>
      <c r="R34" s="100" t="str">
        <f aca="false">IF(B34="","",A34&amp;" · "&amp;B34)</f>
        <v/>
      </c>
    </row>
    <row r="35" customFormat="false" ht="15" hidden="false" customHeight="false" outlineLevel="0" collapsed="false">
      <c r="A35" s="93" t="s">
        <v>1038</v>
      </c>
      <c r="B35" s="105"/>
      <c r="C35" s="105"/>
      <c r="D35" s="105"/>
      <c r="E35" s="106"/>
      <c r="F35" s="105"/>
      <c r="G35" s="106"/>
      <c r="H35" s="106"/>
      <c r="I35" s="96" t="str">
        <f aca="false">IF(OR(G35="",H35=""),"",G35*H35)</f>
        <v/>
      </c>
      <c r="J35" s="99" t="str">
        <f aca="false">IF(I35="","",IF(I35&gt;=15,"Crítica",IF(I35&gt;=9,"Alta",IF(I35&gt;=4,"Média","Baixa"))))</f>
        <v/>
      </c>
      <c r="K35" s="105"/>
      <c r="L35" s="105"/>
      <c r="M35" s="106"/>
      <c r="N35" s="96" t="str">
        <f aca="false">IF(B35="","",COUNTIF('Feira - Soluções'!$C$5:$C$500,A35&amp;"*"))</f>
        <v/>
      </c>
      <c r="O35" s="107"/>
      <c r="P35" s="105"/>
      <c r="Q35" s="105"/>
      <c r="R35" s="100" t="str">
        <f aca="false">IF(B35="","",A35&amp;" · "&amp;B35)</f>
        <v/>
      </c>
    </row>
    <row r="36" customFormat="false" ht="15" hidden="false" customHeight="false" outlineLevel="0" collapsed="false">
      <c r="A36" s="101" t="s">
        <v>1039</v>
      </c>
      <c r="B36" s="102"/>
      <c r="C36" s="102"/>
      <c r="D36" s="102"/>
      <c r="E36" s="103"/>
      <c r="F36" s="102"/>
      <c r="G36" s="103"/>
      <c r="H36" s="103"/>
      <c r="I36" s="96" t="str">
        <f aca="false">IF(OR(G36="",H36=""),"",G36*H36)</f>
        <v/>
      </c>
      <c r="J36" s="99" t="str">
        <f aca="false">IF(I36="","",IF(I36&gt;=15,"Crítica",IF(I36&gt;=9,"Alta",IF(I36&gt;=4,"Média","Baixa"))))</f>
        <v/>
      </c>
      <c r="K36" s="102"/>
      <c r="L36" s="102"/>
      <c r="M36" s="103"/>
      <c r="N36" s="96" t="str">
        <f aca="false">IF(B36="","",COUNTIF('Feira - Soluções'!$C$5:$C$500,A36&amp;"*"))</f>
        <v/>
      </c>
      <c r="O36" s="104"/>
      <c r="P36" s="102"/>
      <c r="Q36" s="102"/>
      <c r="R36" s="100" t="str">
        <f aca="false">IF(B36="","",A36&amp;" · "&amp;B36)</f>
        <v/>
      </c>
    </row>
    <row r="37" customFormat="false" ht="15" hidden="false" customHeight="false" outlineLevel="0" collapsed="false">
      <c r="A37" s="93" t="s">
        <v>1040</v>
      </c>
      <c r="B37" s="105"/>
      <c r="C37" s="105"/>
      <c r="D37" s="105"/>
      <c r="E37" s="106"/>
      <c r="F37" s="105"/>
      <c r="G37" s="106"/>
      <c r="H37" s="106"/>
      <c r="I37" s="96" t="str">
        <f aca="false">IF(OR(G37="",H37=""),"",G37*H37)</f>
        <v/>
      </c>
      <c r="J37" s="99" t="str">
        <f aca="false">IF(I37="","",IF(I37&gt;=15,"Crítica",IF(I37&gt;=9,"Alta",IF(I37&gt;=4,"Média","Baixa"))))</f>
        <v/>
      </c>
      <c r="K37" s="105"/>
      <c r="L37" s="105"/>
      <c r="M37" s="106"/>
      <c r="N37" s="96" t="str">
        <f aca="false">IF(B37="","",COUNTIF('Feira - Soluções'!$C$5:$C$500,A37&amp;"*"))</f>
        <v/>
      </c>
      <c r="O37" s="107"/>
      <c r="P37" s="105"/>
      <c r="Q37" s="105"/>
      <c r="R37" s="100" t="str">
        <f aca="false">IF(B37="","",A37&amp;" · "&amp;B37)</f>
        <v/>
      </c>
    </row>
    <row r="38" customFormat="false" ht="15" hidden="false" customHeight="false" outlineLevel="0" collapsed="false">
      <c r="A38" s="101" t="s">
        <v>1041</v>
      </c>
      <c r="B38" s="102"/>
      <c r="C38" s="102"/>
      <c r="D38" s="102"/>
      <c r="E38" s="103"/>
      <c r="F38" s="102"/>
      <c r="G38" s="103"/>
      <c r="H38" s="103"/>
      <c r="I38" s="96" t="str">
        <f aca="false">IF(OR(G38="",H38=""),"",G38*H38)</f>
        <v/>
      </c>
      <c r="J38" s="99" t="str">
        <f aca="false">IF(I38="","",IF(I38&gt;=15,"Crítica",IF(I38&gt;=9,"Alta",IF(I38&gt;=4,"Média","Baixa"))))</f>
        <v/>
      </c>
      <c r="K38" s="102"/>
      <c r="L38" s="102"/>
      <c r="M38" s="103"/>
      <c r="N38" s="96" t="str">
        <f aca="false">IF(B38="","",COUNTIF('Feira - Soluções'!$C$5:$C$500,A38&amp;"*"))</f>
        <v/>
      </c>
      <c r="O38" s="104"/>
      <c r="P38" s="102"/>
      <c r="Q38" s="102"/>
      <c r="R38" s="100" t="str">
        <f aca="false">IF(B38="","",A38&amp;" · "&amp;B38)</f>
        <v/>
      </c>
    </row>
    <row r="39" customFormat="false" ht="15" hidden="false" customHeight="false" outlineLevel="0" collapsed="false">
      <c r="A39" s="93" t="s">
        <v>1042</v>
      </c>
      <c r="B39" s="105"/>
      <c r="C39" s="105"/>
      <c r="D39" s="105"/>
      <c r="E39" s="106"/>
      <c r="F39" s="105"/>
      <c r="G39" s="106"/>
      <c r="H39" s="106"/>
      <c r="I39" s="96" t="str">
        <f aca="false">IF(OR(G39="",H39=""),"",G39*H39)</f>
        <v/>
      </c>
      <c r="J39" s="99" t="str">
        <f aca="false">IF(I39="","",IF(I39&gt;=15,"Crítica",IF(I39&gt;=9,"Alta",IF(I39&gt;=4,"Média","Baixa"))))</f>
        <v/>
      </c>
      <c r="K39" s="105"/>
      <c r="L39" s="105"/>
      <c r="M39" s="106"/>
      <c r="N39" s="96" t="str">
        <f aca="false">IF(B39="","",COUNTIF('Feira - Soluções'!$C$5:$C$500,A39&amp;"*"))</f>
        <v/>
      </c>
      <c r="O39" s="107"/>
      <c r="P39" s="105"/>
      <c r="Q39" s="105"/>
      <c r="R39" s="100" t="str">
        <f aca="false">IF(B39="","",A39&amp;" · "&amp;B39)</f>
        <v/>
      </c>
    </row>
    <row r="40" customFormat="false" ht="15" hidden="false" customHeight="false" outlineLevel="0" collapsed="false">
      <c r="A40" s="101" t="s">
        <v>1043</v>
      </c>
      <c r="B40" s="102"/>
      <c r="C40" s="102"/>
      <c r="D40" s="102"/>
      <c r="E40" s="103"/>
      <c r="F40" s="102"/>
      <c r="G40" s="103"/>
      <c r="H40" s="103"/>
      <c r="I40" s="96" t="str">
        <f aca="false">IF(OR(G40="",H40=""),"",G40*H40)</f>
        <v/>
      </c>
      <c r="J40" s="99" t="str">
        <f aca="false">IF(I40="","",IF(I40&gt;=15,"Crítica",IF(I40&gt;=9,"Alta",IF(I40&gt;=4,"Média","Baixa"))))</f>
        <v/>
      </c>
      <c r="K40" s="102"/>
      <c r="L40" s="102"/>
      <c r="M40" s="103"/>
      <c r="N40" s="96" t="str">
        <f aca="false">IF(B40="","",COUNTIF('Feira - Soluções'!$C$5:$C$500,A40&amp;"*"))</f>
        <v/>
      </c>
      <c r="O40" s="104"/>
      <c r="P40" s="102"/>
      <c r="Q40" s="102"/>
      <c r="R40" s="100" t="str">
        <f aca="false">IF(B40="","",A40&amp;" · "&amp;B40)</f>
        <v/>
      </c>
    </row>
    <row r="41" customFormat="false" ht="15" hidden="false" customHeight="false" outlineLevel="0" collapsed="false">
      <c r="A41" s="93" t="s">
        <v>1044</v>
      </c>
      <c r="B41" s="105"/>
      <c r="C41" s="105"/>
      <c r="D41" s="105"/>
      <c r="E41" s="106"/>
      <c r="F41" s="105"/>
      <c r="G41" s="106"/>
      <c r="H41" s="106"/>
      <c r="I41" s="96" t="str">
        <f aca="false">IF(OR(G41="",H41=""),"",G41*H41)</f>
        <v/>
      </c>
      <c r="J41" s="99" t="str">
        <f aca="false">IF(I41="","",IF(I41&gt;=15,"Crítica",IF(I41&gt;=9,"Alta",IF(I41&gt;=4,"Média","Baixa"))))</f>
        <v/>
      </c>
      <c r="K41" s="105"/>
      <c r="L41" s="105"/>
      <c r="M41" s="106"/>
      <c r="N41" s="96" t="str">
        <f aca="false">IF(B41="","",COUNTIF('Feira - Soluções'!$C$5:$C$500,A41&amp;"*"))</f>
        <v/>
      </c>
      <c r="O41" s="107"/>
      <c r="P41" s="105"/>
      <c r="Q41" s="105"/>
      <c r="R41" s="100" t="str">
        <f aca="false">IF(B41="","",A41&amp;" · "&amp;B41)</f>
        <v/>
      </c>
    </row>
    <row r="42" customFormat="false" ht="15" hidden="false" customHeight="false" outlineLevel="0" collapsed="false">
      <c r="A42" s="101" t="s">
        <v>1045</v>
      </c>
      <c r="B42" s="102"/>
      <c r="C42" s="102"/>
      <c r="D42" s="102"/>
      <c r="E42" s="103"/>
      <c r="F42" s="102"/>
      <c r="G42" s="103"/>
      <c r="H42" s="103"/>
      <c r="I42" s="96" t="str">
        <f aca="false">IF(OR(G42="",H42=""),"",G42*H42)</f>
        <v/>
      </c>
      <c r="J42" s="99" t="str">
        <f aca="false">IF(I42="","",IF(I42&gt;=15,"Crítica",IF(I42&gt;=9,"Alta",IF(I42&gt;=4,"Média","Baixa"))))</f>
        <v/>
      </c>
      <c r="K42" s="102"/>
      <c r="L42" s="102"/>
      <c r="M42" s="103"/>
      <c r="N42" s="96" t="str">
        <f aca="false">IF(B42="","",COUNTIF('Feira - Soluções'!$C$5:$C$500,A42&amp;"*"))</f>
        <v/>
      </c>
      <c r="O42" s="104"/>
      <c r="P42" s="102"/>
      <c r="Q42" s="102"/>
      <c r="R42" s="100" t="str">
        <f aca="false">IF(B42="","",A42&amp;" · "&amp;B42)</f>
        <v/>
      </c>
    </row>
    <row r="43" customFormat="false" ht="15" hidden="false" customHeight="false" outlineLevel="0" collapsed="false">
      <c r="A43" s="93" t="s">
        <v>1046</v>
      </c>
      <c r="B43" s="105"/>
      <c r="C43" s="105"/>
      <c r="D43" s="105"/>
      <c r="E43" s="106"/>
      <c r="F43" s="105"/>
      <c r="G43" s="106"/>
      <c r="H43" s="106"/>
      <c r="I43" s="96" t="str">
        <f aca="false">IF(OR(G43="",H43=""),"",G43*H43)</f>
        <v/>
      </c>
      <c r="J43" s="99" t="str">
        <f aca="false">IF(I43="","",IF(I43&gt;=15,"Crítica",IF(I43&gt;=9,"Alta",IF(I43&gt;=4,"Média","Baixa"))))</f>
        <v/>
      </c>
      <c r="K43" s="105"/>
      <c r="L43" s="105"/>
      <c r="M43" s="106"/>
      <c r="N43" s="96" t="str">
        <f aca="false">IF(B43="","",COUNTIF('Feira - Soluções'!$C$5:$C$500,A43&amp;"*"))</f>
        <v/>
      </c>
      <c r="O43" s="107"/>
      <c r="P43" s="105"/>
      <c r="Q43" s="105"/>
      <c r="R43" s="100" t="str">
        <f aca="false">IF(B43="","",A43&amp;" · "&amp;B43)</f>
        <v/>
      </c>
    </row>
    <row r="44" customFormat="false" ht="15" hidden="false" customHeight="false" outlineLevel="0" collapsed="false">
      <c r="A44" s="101" t="s">
        <v>1047</v>
      </c>
      <c r="B44" s="102"/>
      <c r="C44" s="102"/>
      <c r="D44" s="102"/>
      <c r="E44" s="103"/>
      <c r="F44" s="102"/>
      <c r="G44" s="103"/>
      <c r="H44" s="103"/>
      <c r="I44" s="96" t="str">
        <f aca="false">IF(OR(G44="",H44=""),"",G44*H44)</f>
        <v/>
      </c>
      <c r="J44" s="99" t="str">
        <f aca="false">IF(I44="","",IF(I44&gt;=15,"Crítica",IF(I44&gt;=9,"Alta",IF(I44&gt;=4,"Média","Baixa"))))</f>
        <v/>
      </c>
      <c r="K44" s="102"/>
      <c r="L44" s="102"/>
      <c r="M44" s="103"/>
      <c r="N44" s="96" t="str">
        <f aca="false">IF(B44="","",COUNTIF('Feira - Soluções'!$C$5:$C$500,A44&amp;"*"))</f>
        <v/>
      </c>
      <c r="O44" s="104"/>
      <c r="P44" s="102"/>
      <c r="Q44" s="102"/>
      <c r="R44" s="100" t="str">
        <f aca="false">IF(B44="","",A44&amp;" · "&amp;B44)</f>
        <v/>
      </c>
    </row>
    <row r="45" customFormat="false" ht="15" hidden="false" customHeight="false" outlineLevel="0" collapsed="false">
      <c r="A45" s="93" t="s">
        <v>1048</v>
      </c>
      <c r="B45" s="105"/>
      <c r="C45" s="105"/>
      <c r="D45" s="105"/>
      <c r="E45" s="106"/>
      <c r="F45" s="105"/>
      <c r="G45" s="106"/>
      <c r="H45" s="106"/>
      <c r="I45" s="96" t="str">
        <f aca="false">IF(OR(G45="",H45=""),"",G45*H45)</f>
        <v/>
      </c>
      <c r="J45" s="99" t="str">
        <f aca="false">IF(I45="","",IF(I45&gt;=15,"Crítica",IF(I45&gt;=9,"Alta",IF(I45&gt;=4,"Média","Baixa"))))</f>
        <v/>
      </c>
      <c r="K45" s="105"/>
      <c r="L45" s="105"/>
      <c r="M45" s="106"/>
      <c r="N45" s="96" t="str">
        <f aca="false">IF(B45="","",COUNTIF('Feira - Soluções'!$C$5:$C$500,A45&amp;"*"))</f>
        <v/>
      </c>
      <c r="O45" s="107"/>
      <c r="P45" s="105"/>
      <c r="Q45" s="105"/>
      <c r="R45" s="100" t="str">
        <f aca="false">IF(B45="","",A45&amp;" · "&amp;B45)</f>
        <v/>
      </c>
    </row>
    <row r="46" customFormat="false" ht="15" hidden="false" customHeight="false" outlineLevel="0" collapsed="false">
      <c r="A46" s="101" t="s">
        <v>1049</v>
      </c>
      <c r="B46" s="102"/>
      <c r="C46" s="102"/>
      <c r="D46" s="102"/>
      <c r="E46" s="103"/>
      <c r="F46" s="102"/>
      <c r="G46" s="103"/>
      <c r="H46" s="103"/>
      <c r="I46" s="96" t="str">
        <f aca="false">IF(OR(G46="",H46=""),"",G46*H46)</f>
        <v/>
      </c>
      <c r="J46" s="99" t="str">
        <f aca="false">IF(I46="","",IF(I46&gt;=15,"Crítica",IF(I46&gt;=9,"Alta",IF(I46&gt;=4,"Média","Baixa"))))</f>
        <v/>
      </c>
      <c r="K46" s="102"/>
      <c r="L46" s="102"/>
      <c r="M46" s="103"/>
      <c r="N46" s="96" t="str">
        <f aca="false">IF(B46="","",COUNTIF('Feira - Soluções'!$C$5:$C$500,A46&amp;"*"))</f>
        <v/>
      </c>
      <c r="O46" s="104"/>
      <c r="P46" s="102"/>
      <c r="Q46" s="102"/>
      <c r="R46" s="100" t="str">
        <f aca="false">IF(B46="","",A46&amp;" · "&amp;B46)</f>
        <v/>
      </c>
    </row>
    <row r="47" customFormat="false" ht="15" hidden="false" customHeight="false" outlineLevel="0" collapsed="false">
      <c r="A47" s="93" t="s">
        <v>1050</v>
      </c>
      <c r="B47" s="105"/>
      <c r="C47" s="105"/>
      <c r="D47" s="105"/>
      <c r="E47" s="106"/>
      <c r="F47" s="105"/>
      <c r="G47" s="106"/>
      <c r="H47" s="106"/>
      <c r="I47" s="96" t="str">
        <f aca="false">IF(OR(G47="",H47=""),"",G47*H47)</f>
        <v/>
      </c>
      <c r="J47" s="99" t="str">
        <f aca="false">IF(I47="","",IF(I47&gt;=15,"Crítica",IF(I47&gt;=9,"Alta",IF(I47&gt;=4,"Média","Baixa"))))</f>
        <v/>
      </c>
      <c r="K47" s="105"/>
      <c r="L47" s="105"/>
      <c r="M47" s="106"/>
      <c r="N47" s="96" t="str">
        <f aca="false">IF(B47="","",COUNTIF('Feira - Soluções'!$C$5:$C$500,A47&amp;"*"))</f>
        <v/>
      </c>
      <c r="O47" s="107"/>
      <c r="P47" s="105"/>
      <c r="Q47" s="105"/>
      <c r="R47" s="100" t="str">
        <f aca="false">IF(B47="","",A47&amp;" · "&amp;B47)</f>
        <v/>
      </c>
    </row>
    <row r="48" customFormat="false" ht="15" hidden="false" customHeight="false" outlineLevel="0" collapsed="false">
      <c r="A48" s="101" t="s">
        <v>1051</v>
      </c>
      <c r="B48" s="102"/>
      <c r="C48" s="102"/>
      <c r="D48" s="102"/>
      <c r="E48" s="103"/>
      <c r="F48" s="102"/>
      <c r="G48" s="103"/>
      <c r="H48" s="103"/>
      <c r="I48" s="96" t="str">
        <f aca="false">IF(OR(G48="",H48=""),"",G48*H48)</f>
        <v/>
      </c>
      <c r="J48" s="99" t="str">
        <f aca="false">IF(I48="","",IF(I48&gt;=15,"Crítica",IF(I48&gt;=9,"Alta",IF(I48&gt;=4,"Média","Baixa"))))</f>
        <v/>
      </c>
      <c r="K48" s="102"/>
      <c r="L48" s="102"/>
      <c r="M48" s="103"/>
      <c r="N48" s="96" t="str">
        <f aca="false">IF(B48="","",COUNTIF('Feira - Soluções'!$C$5:$C$500,A48&amp;"*"))</f>
        <v/>
      </c>
      <c r="O48" s="104"/>
      <c r="P48" s="102"/>
      <c r="Q48" s="102"/>
      <c r="R48" s="100" t="str">
        <f aca="false">IF(B48="","",A48&amp;" · "&amp;B48)</f>
        <v/>
      </c>
    </row>
    <row r="49" customFormat="false" ht="15" hidden="false" customHeight="false" outlineLevel="0" collapsed="false">
      <c r="A49" s="93" t="s">
        <v>1052</v>
      </c>
      <c r="B49" s="105"/>
      <c r="C49" s="105"/>
      <c r="D49" s="105"/>
      <c r="E49" s="106"/>
      <c r="F49" s="105"/>
      <c r="G49" s="106"/>
      <c r="H49" s="106"/>
      <c r="I49" s="96" t="str">
        <f aca="false">IF(OR(G49="",H49=""),"",G49*H49)</f>
        <v/>
      </c>
      <c r="J49" s="99" t="str">
        <f aca="false">IF(I49="","",IF(I49&gt;=15,"Crítica",IF(I49&gt;=9,"Alta",IF(I49&gt;=4,"Média","Baixa"))))</f>
        <v/>
      </c>
      <c r="K49" s="105"/>
      <c r="L49" s="105"/>
      <c r="M49" s="106"/>
      <c r="N49" s="96" t="str">
        <f aca="false">IF(B49="","",COUNTIF('Feira - Soluções'!$C$5:$C$500,A49&amp;"*"))</f>
        <v/>
      </c>
      <c r="O49" s="107"/>
      <c r="P49" s="105"/>
      <c r="Q49" s="105"/>
      <c r="R49" s="100" t="str">
        <f aca="false">IF(B49="","",A49&amp;" · "&amp;B49)</f>
        <v/>
      </c>
    </row>
    <row r="50" customFormat="false" ht="15" hidden="false" customHeight="false" outlineLevel="0" collapsed="false">
      <c r="A50" s="101" t="s">
        <v>1053</v>
      </c>
      <c r="B50" s="102"/>
      <c r="C50" s="102"/>
      <c r="D50" s="102"/>
      <c r="E50" s="103"/>
      <c r="F50" s="102"/>
      <c r="G50" s="103"/>
      <c r="H50" s="103"/>
      <c r="I50" s="96" t="str">
        <f aca="false">IF(OR(G50="",H50=""),"",G50*H50)</f>
        <v/>
      </c>
      <c r="J50" s="99" t="str">
        <f aca="false">IF(I50="","",IF(I50&gt;=15,"Crítica",IF(I50&gt;=9,"Alta",IF(I50&gt;=4,"Média","Baixa"))))</f>
        <v/>
      </c>
      <c r="K50" s="102"/>
      <c r="L50" s="102"/>
      <c r="M50" s="103"/>
      <c r="N50" s="96" t="str">
        <f aca="false">IF(B50="","",COUNTIF('Feira - Soluções'!$C$5:$C$500,A50&amp;"*"))</f>
        <v/>
      </c>
      <c r="O50" s="104"/>
      <c r="P50" s="102"/>
      <c r="Q50" s="102"/>
      <c r="R50" s="100" t="str">
        <f aca="false">IF(B50="","",A50&amp;" · "&amp;B50)</f>
        <v/>
      </c>
    </row>
    <row r="51" customFormat="false" ht="15" hidden="false" customHeight="false" outlineLevel="0" collapsed="false">
      <c r="A51" s="93" t="s">
        <v>1054</v>
      </c>
      <c r="B51" s="105"/>
      <c r="C51" s="105"/>
      <c r="D51" s="105"/>
      <c r="E51" s="106"/>
      <c r="F51" s="105"/>
      <c r="G51" s="106"/>
      <c r="H51" s="106"/>
      <c r="I51" s="96" t="str">
        <f aca="false">IF(OR(G51="",H51=""),"",G51*H51)</f>
        <v/>
      </c>
      <c r="J51" s="99" t="str">
        <f aca="false">IF(I51="","",IF(I51&gt;=15,"Crítica",IF(I51&gt;=9,"Alta",IF(I51&gt;=4,"Média","Baixa"))))</f>
        <v/>
      </c>
      <c r="K51" s="105"/>
      <c r="L51" s="105"/>
      <c r="M51" s="106"/>
      <c r="N51" s="96" t="str">
        <f aca="false">IF(B51="","",COUNTIF('Feira - Soluções'!$C$5:$C$500,A51&amp;"*"))</f>
        <v/>
      </c>
      <c r="O51" s="107"/>
      <c r="P51" s="105"/>
      <c r="Q51" s="105"/>
      <c r="R51" s="100" t="str">
        <f aca="false">IF(B51="","",A51&amp;" · "&amp;B51)</f>
        <v/>
      </c>
    </row>
    <row r="52" customFormat="false" ht="15" hidden="false" customHeight="false" outlineLevel="0" collapsed="false">
      <c r="A52" s="101" t="s">
        <v>1055</v>
      </c>
      <c r="B52" s="102"/>
      <c r="C52" s="102"/>
      <c r="D52" s="102"/>
      <c r="E52" s="103"/>
      <c r="F52" s="102"/>
      <c r="G52" s="103"/>
      <c r="H52" s="103"/>
      <c r="I52" s="96" t="str">
        <f aca="false">IF(OR(G52="",H52=""),"",G52*H52)</f>
        <v/>
      </c>
      <c r="J52" s="99" t="str">
        <f aca="false">IF(I52="","",IF(I52&gt;=15,"Crítica",IF(I52&gt;=9,"Alta",IF(I52&gt;=4,"Média","Baixa"))))</f>
        <v/>
      </c>
      <c r="K52" s="102"/>
      <c r="L52" s="102"/>
      <c r="M52" s="103"/>
      <c r="N52" s="96" t="str">
        <f aca="false">IF(B52="","",COUNTIF('Feira - Soluções'!$C$5:$C$500,A52&amp;"*"))</f>
        <v/>
      </c>
      <c r="O52" s="104"/>
      <c r="P52" s="102"/>
      <c r="Q52" s="102"/>
      <c r="R52" s="100" t="str">
        <f aca="false">IF(B52="","",A52&amp;" · "&amp;B52)</f>
        <v/>
      </c>
    </row>
    <row r="53" customFormat="false" ht="15" hidden="false" customHeight="false" outlineLevel="0" collapsed="false">
      <c r="A53" s="93" t="s">
        <v>1056</v>
      </c>
      <c r="B53" s="105"/>
      <c r="C53" s="105"/>
      <c r="D53" s="105"/>
      <c r="E53" s="106"/>
      <c r="F53" s="105"/>
      <c r="G53" s="106"/>
      <c r="H53" s="106"/>
      <c r="I53" s="96" t="str">
        <f aca="false">IF(OR(G53="",H53=""),"",G53*H53)</f>
        <v/>
      </c>
      <c r="J53" s="99" t="str">
        <f aca="false">IF(I53="","",IF(I53&gt;=15,"Crítica",IF(I53&gt;=9,"Alta",IF(I53&gt;=4,"Média","Baixa"))))</f>
        <v/>
      </c>
      <c r="K53" s="105"/>
      <c r="L53" s="105"/>
      <c r="M53" s="106"/>
      <c r="N53" s="96" t="str">
        <f aca="false">IF(B53="","",COUNTIF('Feira - Soluções'!$C$5:$C$500,A53&amp;"*"))</f>
        <v/>
      </c>
      <c r="O53" s="107"/>
      <c r="P53" s="105"/>
      <c r="Q53" s="105"/>
      <c r="R53" s="100" t="str">
        <f aca="false">IF(B53="","",A53&amp;" · "&amp;B53)</f>
        <v/>
      </c>
    </row>
    <row r="54" customFormat="false" ht="15" hidden="false" customHeight="false" outlineLevel="0" collapsed="false">
      <c r="A54" s="101" t="s">
        <v>1057</v>
      </c>
      <c r="B54" s="102"/>
      <c r="C54" s="102"/>
      <c r="D54" s="102"/>
      <c r="E54" s="103"/>
      <c r="F54" s="102"/>
      <c r="G54" s="103"/>
      <c r="H54" s="103"/>
      <c r="I54" s="96" t="str">
        <f aca="false">IF(OR(G54="",H54=""),"",G54*H54)</f>
        <v/>
      </c>
      <c r="J54" s="99" t="str">
        <f aca="false">IF(I54="","",IF(I54&gt;=15,"Crítica",IF(I54&gt;=9,"Alta",IF(I54&gt;=4,"Média","Baixa"))))</f>
        <v/>
      </c>
      <c r="K54" s="102"/>
      <c r="L54" s="102"/>
      <c r="M54" s="103"/>
      <c r="N54" s="96" t="str">
        <f aca="false">IF(B54="","",COUNTIF('Feira - Soluções'!$C$5:$C$500,A54&amp;"*"))</f>
        <v/>
      </c>
      <c r="O54" s="104"/>
      <c r="P54" s="102"/>
      <c r="Q54" s="102"/>
      <c r="R54" s="100" t="str">
        <f aca="false">IF(B54="","",A54&amp;" · "&amp;B54)</f>
        <v/>
      </c>
    </row>
    <row r="55" customFormat="false" ht="15" hidden="false" customHeight="false" outlineLevel="0" collapsed="false">
      <c r="A55" s="93" t="s">
        <v>1058</v>
      </c>
      <c r="B55" s="105"/>
      <c r="C55" s="105"/>
      <c r="D55" s="105"/>
      <c r="E55" s="106"/>
      <c r="F55" s="105"/>
      <c r="G55" s="106"/>
      <c r="H55" s="106"/>
      <c r="I55" s="96" t="str">
        <f aca="false">IF(OR(G55="",H55=""),"",G55*H55)</f>
        <v/>
      </c>
      <c r="J55" s="99" t="str">
        <f aca="false">IF(I55="","",IF(I55&gt;=15,"Crítica",IF(I55&gt;=9,"Alta",IF(I55&gt;=4,"Média","Baixa"))))</f>
        <v/>
      </c>
      <c r="K55" s="105"/>
      <c r="L55" s="105"/>
      <c r="M55" s="106"/>
      <c r="N55" s="96" t="str">
        <f aca="false">IF(B55="","",COUNTIF('Feira - Soluções'!$C$5:$C$500,A55&amp;"*"))</f>
        <v/>
      </c>
      <c r="O55" s="107"/>
      <c r="P55" s="105"/>
      <c r="Q55" s="105"/>
      <c r="R55" s="100" t="str">
        <f aca="false">IF(B55="","",A55&amp;" · "&amp;B55)</f>
        <v/>
      </c>
    </row>
    <row r="56" customFormat="false" ht="15" hidden="false" customHeight="false" outlineLevel="0" collapsed="false">
      <c r="A56" s="101" t="s">
        <v>1059</v>
      </c>
      <c r="B56" s="102"/>
      <c r="C56" s="102"/>
      <c r="D56" s="102"/>
      <c r="E56" s="103"/>
      <c r="F56" s="102"/>
      <c r="G56" s="103"/>
      <c r="H56" s="103"/>
      <c r="I56" s="96" t="str">
        <f aca="false">IF(OR(G56="",H56=""),"",G56*H56)</f>
        <v/>
      </c>
      <c r="J56" s="99" t="str">
        <f aca="false">IF(I56="","",IF(I56&gt;=15,"Crítica",IF(I56&gt;=9,"Alta",IF(I56&gt;=4,"Média","Baixa"))))</f>
        <v/>
      </c>
      <c r="K56" s="102"/>
      <c r="L56" s="102"/>
      <c r="M56" s="103"/>
      <c r="N56" s="96" t="str">
        <f aca="false">IF(B56="","",COUNTIF('Feira - Soluções'!$C$5:$C$500,A56&amp;"*"))</f>
        <v/>
      </c>
      <c r="O56" s="104"/>
      <c r="P56" s="102"/>
      <c r="Q56" s="102"/>
      <c r="R56" s="100" t="str">
        <f aca="false">IF(B56="","",A56&amp;" · "&amp;B56)</f>
        <v/>
      </c>
    </row>
    <row r="57" customFormat="false" ht="15" hidden="false" customHeight="false" outlineLevel="0" collapsed="false">
      <c r="A57" s="93" t="s">
        <v>1060</v>
      </c>
      <c r="B57" s="105"/>
      <c r="C57" s="105"/>
      <c r="D57" s="105"/>
      <c r="E57" s="106"/>
      <c r="F57" s="105"/>
      <c r="G57" s="106"/>
      <c r="H57" s="106"/>
      <c r="I57" s="96" t="str">
        <f aca="false">IF(OR(G57="",H57=""),"",G57*H57)</f>
        <v/>
      </c>
      <c r="J57" s="99" t="str">
        <f aca="false">IF(I57="","",IF(I57&gt;=15,"Crítica",IF(I57&gt;=9,"Alta",IF(I57&gt;=4,"Média","Baixa"))))</f>
        <v/>
      </c>
      <c r="K57" s="105"/>
      <c r="L57" s="105"/>
      <c r="M57" s="106"/>
      <c r="N57" s="96" t="str">
        <f aca="false">IF(B57="","",COUNTIF('Feira - Soluções'!$C$5:$C$500,A57&amp;"*"))</f>
        <v/>
      </c>
      <c r="O57" s="107"/>
      <c r="P57" s="105"/>
      <c r="Q57" s="105"/>
      <c r="R57" s="100" t="str">
        <f aca="false">IF(B57="","",A57&amp;" · "&amp;B57)</f>
        <v/>
      </c>
    </row>
    <row r="58" customFormat="false" ht="15" hidden="false" customHeight="false" outlineLevel="0" collapsed="false">
      <c r="A58" s="101" t="s">
        <v>1061</v>
      </c>
      <c r="B58" s="102"/>
      <c r="C58" s="102"/>
      <c r="D58" s="102"/>
      <c r="E58" s="103"/>
      <c r="F58" s="102"/>
      <c r="G58" s="103"/>
      <c r="H58" s="103"/>
      <c r="I58" s="96" t="str">
        <f aca="false">IF(OR(G58="",H58=""),"",G58*H58)</f>
        <v/>
      </c>
      <c r="J58" s="99" t="str">
        <f aca="false">IF(I58="","",IF(I58&gt;=15,"Crítica",IF(I58&gt;=9,"Alta",IF(I58&gt;=4,"Média","Baixa"))))</f>
        <v/>
      </c>
      <c r="K58" s="102"/>
      <c r="L58" s="102"/>
      <c r="M58" s="103"/>
      <c r="N58" s="96" t="str">
        <f aca="false">IF(B58="","",COUNTIF('Feira - Soluções'!$C$5:$C$500,A58&amp;"*"))</f>
        <v/>
      </c>
      <c r="O58" s="104"/>
      <c r="P58" s="102"/>
      <c r="Q58" s="102"/>
      <c r="R58" s="100" t="str">
        <f aca="false">IF(B58="","",A58&amp;" · "&amp;B58)</f>
        <v/>
      </c>
    </row>
    <row r="59" customFormat="false" ht="15" hidden="false" customHeight="false" outlineLevel="0" collapsed="false">
      <c r="A59" s="93" t="s">
        <v>1062</v>
      </c>
      <c r="B59" s="105"/>
      <c r="C59" s="105"/>
      <c r="D59" s="105"/>
      <c r="E59" s="106"/>
      <c r="F59" s="105"/>
      <c r="G59" s="106"/>
      <c r="H59" s="106"/>
      <c r="I59" s="96" t="str">
        <f aca="false">IF(OR(G59="",H59=""),"",G59*H59)</f>
        <v/>
      </c>
      <c r="J59" s="99" t="str">
        <f aca="false">IF(I59="","",IF(I59&gt;=15,"Crítica",IF(I59&gt;=9,"Alta",IF(I59&gt;=4,"Média","Baixa"))))</f>
        <v/>
      </c>
      <c r="K59" s="105"/>
      <c r="L59" s="105"/>
      <c r="M59" s="106"/>
      <c r="N59" s="96" t="str">
        <f aca="false">IF(B59="","",COUNTIF('Feira - Soluções'!$C$5:$C$500,A59&amp;"*"))</f>
        <v/>
      </c>
      <c r="O59" s="107"/>
      <c r="P59" s="105"/>
      <c r="Q59" s="105"/>
      <c r="R59" s="100" t="str">
        <f aca="false">IF(B59="","",A59&amp;" · "&amp;B59)</f>
        <v/>
      </c>
    </row>
    <row r="60" customFormat="false" ht="15" hidden="false" customHeight="false" outlineLevel="0" collapsed="false">
      <c r="A60" s="101" t="s">
        <v>1063</v>
      </c>
      <c r="B60" s="102"/>
      <c r="C60" s="102"/>
      <c r="D60" s="102"/>
      <c r="E60" s="103"/>
      <c r="F60" s="102"/>
      <c r="G60" s="103"/>
      <c r="H60" s="103"/>
      <c r="I60" s="96" t="str">
        <f aca="false">IF(OR(G60="",H60=""),"",G60*H60)</f>
        <v/>
      </c>
      <c r="J60" s="99" t="str">
        <f aca="false">IF(I60="","",IF(I60&gt;=15,"Crítica",IF(I60&gt;=9,"Alta",IF(I60&gt;=4,"Média","Baixa"))))</f>
        <v/>
      </c>
      <c r="K60" s="102"/>
      <c r="L60" s="102"/>
      <c r="M60" s="103"/>
      <c r="N60" s="96" t="str">
        <f aca="false">IF(B60="","",COUNTIF('Feira - Soluções'!$C$5:$C$500,A60&amp;"*"))</f>
        <v/>
      </c>
      <c r="O60" s="104"/>
      <c r="P60" s="102"/>
      <c r="Q60" s="102"/>
      <c r="R60" s="100" t="str">
        <f aca="false">IF(B60="","",A60&amp;" · "&amp;B60)</f>
        <v/>
      </c>
    </row>
    <row r="61" customFormat="false" ht="15" hidden="false" customHeight="false" outlineLevel="0" collapsed="false">
      <c r="A61" s="93" t="s">
        <v>1064</v>
      </c>
      <c r="B61" s="105"/>
      <c r="C61" s="105"/>
      <c r="D61" s="105"/>
      <c r="E61" s="106"/>
      <c r="F61" s="105"/>
      <c r="G61" s="106"/>
      <c r="H61" s="106"/>
      <c r="I61" s="96" t="str">
        <f aca="false">IF(OR(G61="",H61=""),"",G61*H61)</f>
        <v/>
      </c>
      <c r="J61" s="99" t="str">
        <f aca="false">IF(I61="","",IF(I61&gt;=15,"Crítica",IF(I61&gt;=9,"Alta",IF(I61&gt;=4,"Média","Baixa"))))</f>
        <v/>
      </c>
      <c r="K61" s="105"/>
      <c r="L61" s="105"/>
      <c r="M61" s="106"/>
      <c r="N61" s="96" t="str">
        <f aca="false">IF(B61="","",COUNTIF('Feira - Soluções'!$C$5:$C$500,A61&amp;"*"))</f>
        <v/>
      </c>
      <c r="O61" s="107"/>
      <c r="P61" s="105"/>
      <c r="Q61" s="105"/>
      <c r="R61" s="100" t="str">
        <f aca="false">IF(B61="","",A61&amp;" · "&amp;B61)</f>
        <v/>
      </c>
    </row>
    <row r="62" customFormat="false" ht="15" hidden="false" customHeight="false" outlineLevel="0" collapsed="false">
      <c r="A62" s="101" t="s">
        <v>1065</v>
      </c>
      <c r="B62" s="102"/>
      <c r="C62" s="102"/>
      <c r="D62" s="102"/>
      <c r="E62" s="103"/>
      <c r="F62" s="102"/>
      <c r="G62" s="103"/>
      <c r="H62" s="103"/>
      <c r="I62" s="96" t="str">
        <f aca="false">IF(OR(G62="",H62=""),"",G62*H62)</f>
        <v/>
      </c>
      <c r="J62" s="99" t="str">
        <f aca="false">IF(I62="","",IF(I62&gt;=15,"Crítica",IF(I62&gt;=9,"Alta",IF(I62&gt;=4,"Média","Baixa"))))</f>
        <v/>
      </c>
      <c r="K62" s="102"/>
      <c r="L62" s="102"/>
      <c r="M62" s="103"/>
      <c r="N62" s="96" t="str">
        <f aca="false">IF(B62="","",COUNTIF('Feira - Soluções'!$C$5:$C$500,A62&amp;"*"))</f>
        <v/>
      </c>
      <c r="O62" s="104"/>
      <c r="P62" s="102"/>
      <c r="Q62" s="102"/>
      <c r="R62" s="100" t="str">
        <f aca="false">IF(B62="","",A62&amp;" · "&amp;B62)</f>
        <v/>
      </c>
    </row>
    <row r="63" customFormat="false" ht="15" hidden="false" customHeight="false" outlineLevel="0" collapsed="false">
      <c r="A63" s="93" t="s">
        <v>1066</v>
      </c>
      <c r="B63" s="105"/>
      <c r="C63" s="105"/>
      <c r="D63" s="105"/>
      <c r="E63" s="106"/>
      <c r="F63" s="105"/>
      <c r="G63" s="106"/>
      <c r="H63" s="106"/>
      <c r="I63" s="96" t="str">
        <f aca="false">IF(OR(G63="",H63=""),"",G63*H63)</f>
        <v/>
      </c>
      <c r="J63" s="99" t="str">
        <f aca="false">IF(I63="","",IF(I63&gt;=15,"Crítica",IF(I63&gt;=9,"Alta",IF(I63&gt;=4,"Média","Baixa"))))</f>
        <v/>
      </c>
      <c r="K63" s="105"/>
      <c r="L63" s="105"/>
      <c r="M63" s="106"/>
      <c r="N63" s="96" t="str">
        <f aca="false">IF(B63="","",COUNTIF('Feira - Soluções'!$C$5:$C$500,A63&amp;"*"))</f>
        <v/>
      </c>
      <c r="O63" s="107"/>
      <c r="P63" s="105"/>
      <c r="Q63" s="105"/>
      <c r="R63" s="100" t="str">
        <f aca="false">IF(B63="","",A63&amp;" · "&amp;B63)</f>
        <v/>
      </c>
    </row>
    <row r="64" customFormat="false" ht="15" hidden="false" customHeight="false" outlineLevel="0" collapsed="false">
      <c r="A64" s="101" t="s">
        <v>1067</v>
      </c>
      <c r="B64" s="102"/>
      <c r="C64" s="102"/>
      <c r="D64" s="102"/>
      <c r="E64" s="103"/>
      <c r="F64" s="102"/>
      <c r="G64" s="103"/>
      <c r="H64" s="103"/>
      <c r="I64" s="96" t="str">
        <f aca="false">IF(OR(G64="",H64=""),"",G64*H64)</f>
        <v/>
      </c>
      <c r="J64" s="99" t="str">
        <f aca="false">IF(I64="","",IF(I64&gt;=15,"Crítica",IF(I64&gt;=9,"Alta",IF(I64&gt;=4,"Média","Baixa"))))</f>
        <v/>
      </c>
      <c r="K64" s="102"/>
      <c r="L64" s="102"/>
      <c r="M64" s="103"/>
      <c r="N64" s="96" t="str">
        <f aca="false">IF(B64="","",COUNTIF('Feira - Soluções'!$C$5:$C$500,A64&amp;"*"))</f>
        <v/>
      </c>
      <c r="O64" s="104"/>
      <c r="P64" s="102"/>
      <c r="Q64" s="102"/>
      <c r="R64" s="100" t="str">
        <f aca="false">IF(B64="","",A64&amp;" · "&amp;B64)</f>
        <v/>
      </c>
    </row>
    <row r="65" customFormat="false" ht="15" hidden="false" customHeight="false" outlineLevel="0" collapsed="false">
      <c r="A65" s="93" t="s">
        <v>1068</v>
      </c>
      <c r="B65" s="105"/>
      <c r="C65" s="105"/>
      <c r="D65" s="105"/>
      <c r="E65" s="106"/>
      <c r="F65" s="105"/>
      <c r="G65" s="106"/>
      <c r="H65" s="106"/>
      <c r="I65" s="96" t="str">
        <f aca="false">IF(OR(G65="",H65=""),"",G65*H65)</f>
        <v/>
      </c>
      <c r="J65" s="99" t="str">
        <f aca="false">IF(I65="","",IF(I65&gt;=15,"Crítica",IF(I65&gt;=9,"Alta",IF(I65&gt;=4,"Média","Baixa"))))</f>
        <v/>
      </c>
      <c r="K65" s="105"/>
      <c r="L65" s="105"/>
      <c r="M65" s="106"/>
      <c r="N65" s="96" t="str">
        <f aca="false">IF(B65="","",COUNTIF('Feira - Soluções'!$C$5:$C$500,A65&amp;"*"))</f>
        <v/>
      </c>
      <c r="O65" s="107"/>
      <c r="P65" s="105"/>
      <c r="Q65" s="105"/>
      <c r="R65" s="100" t="str">
        <f aca="false">IF(B65="","",A65&amp;" · "&amp;B65)</f>
        <v/>
      </c>
    </row>
    <row r="66" customFormat="false" ht="15" hidden="false" customHeight="false" outlineLevel="0" collapsed="false">
      <c r="A66" s="101" t="s">
        <v>1069</v>
      </c>
      <c r="B66" s="102"/>
      <c r="C66" s="102"/>
      <c r="D66" s="102"/>
      <c r="E66" s="103"/>
      <c r="F66" s="102"/>
      <c r="G66" s="103"/>
      <c r="H66" s="103"/>
      <c r="I66" s="96" t="str">
        <f aca="false">IF(OR(G66="",H66=""),"",G66*H66)</f>
        <v/>
      </c>
      <c r="J66" s="99" t="str">
        <f aca="false">IF(I66="","",IF(I66&gt;=15,"Crítica",IF(I66&gt;=9,"Alta",IF(I66&gt;=4,"Média","Baixa"))))</f>
        <v/>
      </c>
      <c r="K66" s="102"/>
      <c r="L66" s="102"/>
      <c r="M66" s="103"/>
      <c r="N66" s="96" t="str">
        <f aca="false">IF(B66="","",COUNTIF('Feira - Soluções'!$C$5:$C$500,A66&amp;"*"))</f>
        <v/>
      </c>
      <c r="O66" s="104"/>
      <c r="P66" s="102"/>
      <c r="Q66" s="102"/>
      <c r="R66" s="100" t="str">
        <f aca="false">IF(B66="","",A66&amp;" · "&amp;B66)</f>
        <v/>
      </c>
    </row>
    <row r="67" customFormat="false" ht="15" hidden="false" customHeight="false" outlineLevel="0" collapsed="false">
      <c r="A67" s="93" t="s">
        <v>1070</v>
      </c>
      <c r="B67" s="105"/>
      <c r="C67" s="105"/>
      <c r="D67" s="105"/>
      <c r="E67" s="106"/>
      <c r="F67" s="105"/>
      <c r="G67" s="106"/>
      <c r="H67" s="106"/>
      <c r="I67" s="96" t="str">
        <f aca="false">IF(OR(G67="",H67=""),"",G67*H67)</f>
        <v/>
      </c>
      <c r="J67" s="99" t="str">
        <f aca="false">IF(I67="","",IF(I67&gt;=15,"Crítica",IF(I67&gt;=9,"Alta",IF(I67&gt;=4,"Média","Baixa"))))</f>
        <v/>
      </c>
      <c r="K67" s="105"/>
      <c r="L67" s="105"/>
      <c r="M67" s="106"/>
      <c r="N67" s="96" t="str">
        <f aca="false">IF(B67="","",COUNTIF('Feira - Soluções'!$C$5:$C$500,A67&amp;"*"))</f>
        <v/>
      </c>
      <c r="O67" s="107"/>
      <c r="P67" s="105"/>
      <c r="Q67" s="105"/>
      <c r="R67" s="100" t="str">
        <f aca="false">IF(B67="","",A67&amp;" · "&amp;B67)</f>
        <v/>
      </c>
    </row>
    <row r="68" customFormat="false" ht="15" hidden="false" customHeight="false" outlineLevel="0" collapsed="false">
      <c r="A68" s="101" t="s">
        <v>1071</v>
      </c>
      <c r="B68" s="102"/>
      <c r="C68" s="102"/>
      <c r="D68" s="102"/>
      <c r="E68" s="103"/>
      <c r="F68" s="102"/>
      <c r="G68" s="103"/>
      <c r="H68" s="103"/>
      <c r="I68" s="96" t="str">
        <f aca="false">IF(OR(G68="",H68=""),"",G68*H68)</f>
        <v/>
      </c>
      <c r="J68" s="99" t="str">
        <f aca="false">IF(I68="","",IF(I68&gt;=15,"Crítica",IF(I68&gt;=9,"Alta",IF(I68&gt;=4,"Média","Baixa"))))</f>
        <v/>
      </c>
      <c r="K68" s="102"/>
      <c r="L68" s="102"/>
      <c r="M68" s="103"/>
      <c r="N68" s="96" t="str">
        <f aca="false">IF(B68="","",COUNTIF('Feira - Soluções'!$C$5:$C$500,A68&amp;"*"))</f>
        <v/>
      </c>
      <c r="O68" s="104"/>
      <c r="P68" s="102"/>
      <c r="Q68" s="102"/>
      <c r="R68" s="100" t="str">
        <f aca="false">IF(B68="","",A68&amp;" · "&amp;B68)</f>
        <v/>
      </c>
    </row>
    <row r="69" customFormat="false" ht="15" hidden="false" customHeight="false" outlineLevel="0" collapsed="false">
      <c r="A69" s="93" t="s">
        <v>1072</v>
      </c>
      <c r="B69" s="105"/>
      <c r="C69" s="105"/>
      <c r="D69" s="105"/>
      <c r="E69" s="106"/>
      <c r="F69" s="105"/>
      <c r="G69" s="106"/>
      <c r="H69" s="106"/>
      <c r="I69" s="96" t="str">
        <f aca="false">IF(OR(G69="",H69=""),"",G69*H69)</f>
        <v/>
      </c>
      <c r="J69" s="99" t="str">
        <f aca="false">IF(I69="","",IF(I69&gt;=15,"Crítica",IF(I69&gt;=9,"Alta",IF(I69&gt;=4,"Média","Baixa"))))</f>
        <v/>
      </c>
      <c r="K69" s="105"/>
      <c r="L69" s="105"/>
      <c r="M69" s="106"/>
      <c r="N69" s="96" t="str">
        <f aca="false">IF(B69="","",COUNTIF('Feira - Soluções'!$C$5:$C$500,A69&amp;"*"))</f>
        <v/>
      </c>
      <c r="O69" s="107"/>
      <c r="P69" s="105"/>
      <c r="Q69" s="105"/>
      <c r="R69" s="100" t="str">
        <f aca="false">IF(B69="","",A69&amp;" · "&amp;B69)</f>
        <v/>
      </c>
    </row>
    <row r="70" customFormat="false" ht="15" hidden="false" customHeight="false" outlineLevel="0" collapsed="false">
      <c r="A70" s="101" t="s">
        <v>1073</v>
      </c>
      <c r="B70" s="102"/>
      <c r="C70" s="102"/>
      <c r="D70" s="102"/>
      <c r="E70" s="103"/>
      <c r="F70" s="102"/>
      <c r="G70" s="103"/>
      <c r="H70" s="103"/>
      <c r="I70" s="96" t="str">
        <f aca="false">IF(OR(G70="",H70=""),"",G70*H70)</f>
        <v/>
      </c>
      <c r="J70" s="99" t="str">
        <f aca="false">IF(I70="","",IF(I70&gt;=15,"Crítica",IF(I70&gt;=9,"Alta",IF(I70&gt;=4,"Média","Baixa"))))</f>
        <v/>
      </c>
      <c r="K70" s="102"/>
      <c r="L70" s="102"/>
      <c r="M70" s="103"/>
      <c r="N70" s="96" t="str">
        <f aca="false">IF(B70="","",COUNTIF('Feira - Soluções'!$C$5:$C$500,A70&amp;"*"))</f>
        <v/>
      </c>
      <c r="O70" s="104"/>
      <c r="P70" s="102"/>
      <c r="Q70" s="102"/>
      <c r="R70" s="100" t="str">
        <f aca="false">IF(B70="","",A70&amp;" · "&amp;B70)</f>
        <v/>
      </c>
    </row>
    <row r="71" customFormat="false" ht="15" hidden="false" customHeight="false" outlineLevel="0" collapsed="false">
      <c r="A71" s="93" t="s">
        <v>1074</v>
      </c>
      <c r="B71" s="105"/>
      <c r="C71" s="105"/>
      <c r="D71" s="105"/>
      <c r="E71" s="106"/>
      <c r="F71" s="105"/>
      <c r="G71" s="106"/>
      <c r="H71" s="106"/>
      <c r="I71" s="96" t="str">
        <f aca="false">IF(OR(G71="",H71=""),"",G71*H71)</f>
        <v/>
      </c>
      <c r="J71" s="99" t="str">
        <f aca="false">IF(I71="","",IF(I71&gt;=15,"Crítica",IF(I71&gt;=9,"Alta",IF(I71&gt;=4,"Média","Baixa"))))</f>
        <v/>
      </c>
      <c r="K71" s="105"/>
      <c r="L71" s="105"/>
      <c r="M71" s="106"/>
      <c r="N71" s="96" t="str">
        <f aca="false">IF(B71="","",COUNTIF('Feira - Soluções'!$C$5:$C$500,A71&amp;"*"))</f>
        <v/>
      </c>
      <c r="O71" s="107"/>
      <c r="P71" s="105"/>
      <c r="Q71" s="105"/>
      <c r="R71" s="100" t="str">
        <f aca="false">IF(B71="","",A71&amp;" · "&amp;B71)</f>
        <v/>
      </c>
    </row>
    <row r="72" customFormat="false" ht="15" hidden="false" customHeight="false" outlineLevel="0" collapsed="false">
      <c r="A72" s="101" t="s">
        <v>1075</v>
      </c>
      <c r="B72" s="102"/>
      <c r="C72" s="102"/>
      <c r="D72" s="102"/>
      <c r="E72" s="103"/>
      <c r="F72" s="102"/>
      <c r="G72" s="103"/>
      <c r="H72" s="103"/>
      <c r="I72" s="96" t="str">
        <f aca="false">IF(OR(G72="",H72=""),"",G72*H72)</f>
        <v/>
      </c>
      <c r="J72" s="99" t="str">
        <f aca="false">IF(I72="","",IF(I72&gt;=15,"Crítica",IF(I72&gt;=9,"Alta",IF(I72&gt;=4,"Média","Baixa"))))</f>
        <v/>
      </c>
      <c r="K72" s="102"/>
      <c r="L72" s="102"/>
      <c r="M72" s="103"/>
      <c r="N72" s="96" t="str">
        <f aca="false">IF(B72="","",COUNTIF('Feira - Soluções'!$C$5:$C$500,A72&amp;"*"))</f>
        <v/>
      </c>
      <c r="O72" s="104"/>
      <c r="P72" s="102"/>
      <c r="Q72" s="102"/>
      <c r="R72" s="100" t="str">
        <f aca="false">IF(B72="","",A72&amp;" · "&amp;B72)</f>
        <v/>
      </c>
    </row>
    <row r="73" customFormat="false" ht="15" hidden="false" customHeight="false" outlineLevel="0" collapsed="false">
      <c r="A73" s="93" t="s">
        <v>1076</v>
      </c>
      <c r="B73" s="105"/>
      <c r="C73" s="105"/>
      <c r="D73" s="105"/>
      <c r="E73" s="106"/>
      <c r="F73" s="105"/>
      <c r="G73" s="106"/>
      <c r="H73" s="106"/>
      <c r="I73" s="96" t="str">
        <f aca="false">IF(OR(G73="",H73=""),"",G73*H73)</f>
        <v/>
      </c>
      <c r="J73" s="99" t="str">
        <f aca="false">IF(I73="","",IF(I73&gt;=15,"Crítica",IF(I73&gt;=9,"Alta",IF(I73&gt;=4,"Média","Baixa"))))</f>
        <v/>
      </c>
      <c r="K73" s="105"/>
      <c r="L73" s="105"/>
      <c r="M73" s="106"/>
      <c r="N73" s="96" t="str">
        <f aca="false">IF(B73="","",COUNTIF('Feira - Soluções'!$C$5:$C$500,A73&amp;"*"))</f>
        <v/>
      </c>
      <c r="O73" s="107"/>
      <c r="P73" s="105"/>
      <c r="Q73" s="105"/>
      <c r="R73" s="100" t="str">
        <f aca="false">IF(B73="","",A73&amp;" · "&amp;B73)</f>
        <v/>
      </c>
    </row>
    <row r="74" customFormat="false" ht="15" hidden="false" customHeight="false" outlineLevel="0" collapsed="false">
      <c r="A74" s="101" t="s">
        <v>1077</v>
      </c>
      <c r="B74" s="102"/>
      <c r="C74" s="102"/>
      <c r="D74" s="102"/>
      <c r="E74" s="103"/>
      <c r="F74" s="102"/>
      <c r="G74" s="103"/>
      <c r="H74" s="103"/>
      <c r="I74" s="96" t="str">
        <f aca="false">IF(OR(G74="",H74=""),"",G74*H74)</f>
        <v/>
      </c>
      <c r="J74" s="99" t="str">
        <f aca="false">IF(I74="","",IF(I74&gt;=15,"Crítica",IF(I74&gt;=9,"Alta",IF(I74&gt;=4,"Média","Baixa"))))</f>
        <v/>
      </c>
      <c r="K74" s="102"/>
      <c r="L74" s="102"/>
      <c r="M74" s="103"/>
      <c r="N74" s="96" t="str">
        <f aca="false">IF(B74="","",COUNTIF('Feira - Soluções'!$C$5:$C$500,A74&amp;"*"))</f>
        <v/>
      </c>
      <c r="O74" s="104"/>
      <c r="P74" s="102"/>
      <c r="Q74" s="102"/>
      <c r="R74" s="100" t="str">
        <f aca="false">IF(B74="","",A74&amp;" · "&amp;B74)</f>
        <v/>
      </c>
    </row>
    <row r="75" customFormat="false" ht="15" hidden="false" customHeight="false" outlineLevel="0" collapsed="false">
      <c r="A75" s="93" t="s">
        <v>1078</v>
      </c>
      <c r="B75" s="105"/>
      <c r="C75" s="105"/>
      <c r="D75" s="105"/>
      <c r="E75" s="106"/>
      <c r="F75" s="105"/>
      <c r="G75" s="106"/>
      <c r="H75" s="106"/>
      <c r="I75" s="96" t="str">
        <f aca="false">IF(OR(G75="",H75=""),"",G75*H75)</f>
        <v/>
      </c>
      <c r="J75" s="99" t="str">
        <f aca="false">IF(I75="","",IF(I75&gt;=15,"Crítica",IF(I75&gt;=9,"Alta",IF(I75&gt;=4,"Média","Baixa"))))</f>
        <v/>
      </c>
      <c r="K75" s="105"/>
      <c r="L75" s="105"/>
      <c r="M75" s="106"/>
      <c r="N75" s="96" t="str">
        <f aca="false">IF(B75="","",COUNTIF('Feira - Soluções'!$C$5:$C$500,A75&amp;"*"))</f>
        <v/>
      </c>
      <c r="O75" s="107"/>
      <c r="P75" s="105"/>
      <c r="Q75" s="105"/>
      <c r="R75" s="100" t="str">
        <f aca="false">IF(B75="","",A75&amp;" · "&amp;B75)</f>
        <v/>
      </c>
    </row>
    <row r="76" customFormat="false" ht="15" hidden="false" customHeight="false" outlineLevel="0" collapsed="false">
      <c r="A76" s="101" t="s">
        <v>1079</v>
      </c>
      <c r="B76" s="102"/>
      <c r="C76" s="102"/>
      <c r="D76" s="102"/>
      <c r="E76" s="103"/>
      <c r="F76" s="102"/>
      <c r="G76" s="103"/>
      <c r="H76" s="103"/>
      <c r="I76" s="96" t="str">
        <f aca="false">IF(OR(G76="",H76=""),"",G76*H76)</f>
        <v/>
      </c>
      <c r="J76" s="99" t="str">
        <f aca="false">IF(I76="","",IF(I76&gt;=15,"Crítica",IF(I76&gt;=9,"Alta",IF(I76&gt;=4,"Média","Baixa"))))</f>
        <v/>
      </c>
      <c r="K76" s="102"/>
      <c r="L76" s="102"/>
      <c r="M76" s="103"/>
      <c r="N76" s="96" t="str">
        <f aca="false">IF(B76="","",COUNTIF('Feira - Soluções'!$C$5:$C$500,A76&amp;"*"))</f>
        <v/>
      </c>
      <c r="O76" s="104"/>
      <c r="P76" s="102"/>
      <c r="Q76" s="102"/>
      <c r="R76" s="100" t="str">
        <f aca="false">IF(B76="","",A76&amp;" · "&amp;B76)</f>
        <v/>
      </c>
    </row>
    <row r="77" customFormat="false" ht="15" hidden="false" customHeight="false" outlineLevel="0" collapsed="false">
      <c r="A77" s="93" t="s">
        <v>1080</v>
      </c>
      <c r="B77" s="105"/>
      <c r="C77" s="105"/>
      <c r="D77" s="105"/>
      <c r="E77" s="106"/>
      <c r="F77" s="105"/>
      <c r="G77" s="106"/>
      <c r="H77" s="106"/>
      <c r="I77" s="96" t="str">
        <f aca="false">IF(OR(G77="",H77=""),"",G77*H77)</f>
        <v/>
      </c>
      <c r="J77" s="99" t="str">
        <f aca="false">IF(I77="","",IF(I77&gt;=15,"Crítica",IF(I77&gt;=9,"Alta",IF(I77&gt;=4,"Média","Baixa"))))</f>
        <v/>
      </c>
      <c r="K77" s="105"/>
      <c r="L77" s="105"/>
      <c r="M77" s="106"/>
      <c r="N77" s="96" t="str">
        <f aca="false">IF(B77="","",COUNTIF('Feira - Soluções'!$C$5:$C$500,A77&amp;"*"))</f>
        <v/>
      </c>
      <c r="O77" s="107"/>
      <c r="P77" s="105"/>
      <c r="Q77" s="105"/>
      <c r="R77" s="100" t="str">
        <f aca="false">IF(B77="","",A77&amp;" · "&amp;B77)</f>
        <v/>
      </c>
    </row>
    <row r="78" customFormat="false" ht="15" hidden="false" customHeight="false" outlineLevel="0" collapsed="false">
      <c r="A78" s="101" t="s">
        <v>1081</v>
      </c>
      <c r="B78" s="102"/>
      <c r="C78" s="102"/>
      <c r="D78" s="102"/>
      <c r="E78" s="103"/>
      <c r="F78" s="102"/>
      <c r="G78" s="103"/>
      <c r="H78" s="103"/>
      <c r="I78" s="96" t="str">
        <f aca="false">IF(OR(G78="",H78=""),"",G78*H78)</f>
        <v/>
      </c>
      <c r="J78" s="99" t="str">
        <f aca="false">IF(I78="","",IF(I78&gt;=15,"Crítica",IF(I78&gt;=9,"Alta",IF(I78&gt;=4,"Média","Baixa"))))</f>
        <v/>
      </c>
      <c r="K78" s="102"/>
      <c r="L78" s="102"/>
      <c r="M78" s="103"/>
      <c r="N78" s="96" t="str">
        <f aca="false">IF(B78="","",COUNTIF('Feira - Soluções'!$C$5:$C$500,A78&amp;"*"))</f>
        <v/>
      </c>
      <c r="O78" s="104"/>
      <c r="P78" s="102"/>
      <c r="Q78" s="102"/>
      <c r="R78" s="100" t="str">
        <f aca="false">IF(B78="","",A78&amp;" · "&amp;B78)</f>
        <v/>
      </c>
    </row>
    <row r="79" customFormat="false" ht="15" hidden="false" customHeight="false" outlineLevel="0" collapsed="false">
      <c r="A79" s="93" t="s">
        <v>1082</v>
      </c>
      <c r="B79" s="105"/>
      <c r="C79" s="105"/>
      <c r="D79" s="105"/>
      <c r="E79" s="106"/>
      <c r="F79" s="105"/>
      <c r="G79" s="106"/>
      <c r="H79" s="106"/>
      <c r="I79" s="96" t="str">
        <f aca="false">IF(OR(G79="",H79=""),"",G79*H79)</f>
        <v/>
      </c>
      <c r="J79" s="99" t="str">
        <f aca="false">IF(I79="","",IF(I79&gt;=15,"Crítica",IF(I79&gt;=9,"Alta",IF(I79&gt;=4,"Média","Baixa"))))</f>
        <v/>
      </c>
      <c r="K79" s="105"/>
      <c r="L79" s="105"/>
      <c r="M79" s="106"/>
      <c r="N79" s="96" t="str">
        <f aca="false">IF(B79="","",COUNTIF('Feira - Soluções'!$C$5:$C$500,A79&amp;"*"))</f>
        <v/>
      </c>
      <c r="O79" s="107"/>
      <c r="P79" s="105"/>
      <c r="Q79" s="105"/>
      <c r="R79" s="100" t="str">
        <f aca="false">IF(B79="","",A79&amp;" · "&amp;B79)</f>
        <v/>
      </c>
    </row>
    <row r="80" customFormat="false" ht="15" hidden="false" customHeight="false" outlineLevel="0" collapsed="false">
      <c r="A80" s="101" t="s">
        <v>1083</v>
      </c>
      <c r="B80" s="102"/>
      <c r="C80" s="102"/>
      <c r="D80" s="102"/>
      <c r="E80" s="103"/>
      <c r="F80" s="102"/>
      <c r="G80" s="103"/>
      <c r="H80" s="103"/>
      <c r="I80" s="96" t="str">
        <f aca="false">IF(OR(G80="",H80=""),"",G80*H80)</f>
        <v/>
      </c>
      <c r="J80" s="99" t="str">
        <f aca="false">IF(I80="","",IF(I80&gt;=15,"Crítica",IF(I80&gt;=9,"Alta",IF(I80&gt;=4,"Média","Baixa"))))</f>
        <v/>
      </c>
      <c r="K80" s="102"/>
      <c r="L80" s="102"/>
      <c r="M80" s="103"/>
      <c r="N80" s="96" t="str">
        <f aca="false">IF(B80="","",COUNTIF('Feira - Soluções'!$C$5:$C$500,A80&amp;"*"))</f>
        <v/>
      </c>
      <c r="O80" s="104"/>
      <c r="P80" s="102"/>
      <c r="Q80" s="102"/>
      <c r="R80" s="100" t="str">
        <f aca="false">IF(B80="","",A80&amp;" · "&amp;B80)</f>
        <v/>
      </c>
    </row>
    <row r="81" customFormat="false" ht="15" hidden="false" customHeight="false" outlineLevel="0" collapsed="false">
      <c r="A81" s="93" t="s">
        <v>1084</v>
      </c>
      <c r="B81" s="105"/>
      <c r="C81" s="105"/>
      <c r="D81" s="105"/>
      <c r="E81" s="106"/>
      <c r="F81" s="105"/>
      <c r="G81" s="106"/>
      <c r="H81" s="106"/>
      <c r="I81" s="96" t="str">
        <f aca="false">IF(OR(G81="",H81=""),"",G81*H81)</f>
        <v/>
      </c>
      <c r="J81" s="99" t="str">
        <f aca="false">IF(I81="","",IF(I81&gt;=15,"Crítica",IF(I81&gt;=9,"Alta",IF(I81&gt;=4,"Média","Baixa"))))</f>
        <v/>
      </c>
      <c r="K81" s="105"/>
      <c r="L81" s="105"/>
      <c r="M81" s="106"/>
      <c r="N81" s="96" t="str">
        <f aca="false">IF(B81="","",COUNTIF('Feira - Soluções'!$C$5:$C$500,A81&amp;"*"))</f>
        <v/>
      </c>
      <c r="O81" s="107"/>
      <c r="P81" s="105"/>
      <c r="Q81" s="105"/>
      <c r="R81" s="100" t="str">
        <f aca="false">IF(B81="","",A81&amp;" · "&amp;B81)</f>
        <v/>
      </c>
    </row>
    <row r="82" customFormat="false" ht="15" hidden="false" customHeight="false" outlineLevel="0" collapsed="false">
      <c r="A82" s="101" t="s">
        <v>1085</v>
      </c>
      <c r="B82" s="102"/>
      <c r="C82" s="102"/>
      <c r="D82" s="102"/>
      <c r="E82" s="103"/>
      <c r="F82" s="102"/>
      <c r="G82" s="103"/>
      <c r="H82" s="103"/>
      <c r="I82" s="96" t="str">
        <f aca="false">IF(OR(G82="",H82=""),"",G82*H82)</f>
        <v/>
      </c>
      <c r="J82" s="99" t="str">
        <f aca="false">IF(I82="","",IF(I82&gt;=15,"Crítica",IF(I82&gt;=9,"Alta",IF(I82&gt;=4,"Média","Baixa"))))</f>
        <v/>
      </c>
      <c r="K82" s="102"/>
      <c r="L82" s="102"/>
      <c r="M82" s="103"/>
      <c r="N82" s="96" t="str">
        <f aca="false">IF(B82="","",COUNTIF('Feira - Soluções'!$C$5:$C$500,A82&amp;"*"))</f>
        <v/>
      </c>
      <c r="O82" s="104"/>
      <c r="P82" s="102"/>
      <c r="Q82" s="102"/>
      <c r="R82" s="100" t="str">
        <f aca="false">IF(B82="","",A82&amp;" · "&amp;B82)</f>
        <v/>
      </c>
    </row>
    <row r="83" customFormat="false" ht="15" hidden="false" customHeight="false" outlineLevel="0" collapsed="false">
      <c r="A83" s="93" t="s">
        <v>1086</v>
      </c>
      <c r="B83" s="105"/>
      <c r="C83" s="105"/>
      <c r="D83" s="105"/>
      <c r="E83" s="106"/>
      <c r="F83" s="105"/>
      <c r="G83" s="106"/>
      <c r="H83" s="106"/>
      <c r="I83" s="96" t="str">
        <f aca="false">IF(OR(G83="",H83=""),"",G83*H83)</f>
        <v/>
      </c>
      <c r="J83" s="99" t="str">
        <f aca="false">IF(I83="","",IF(I83&gt;=15,"Crítica",IF(I83&gt;=9,"Alta",IF(I83&gt;=4,"Média","Baixa"))))</f>
        <v/>
      </c>
      <c r="K83" s="105"/>
      <c r="L83" s="105"/>
      <c r="M83" s="106"/>
      <c r="N83" s="96" t="str">
        <f aca="false">IF(B83="","",COUNTIF('Feira - Soluções'!$C$5:$C$500,A83&amp;"*"))</f>
        <v/>
      </c>
      <c r="O83" s="107"/>
      <c r="P83" s="105"/>
      <c r="Q83" s="105"/>
      <c r="R83" s="100" t="str">
        <f aca="false">IF(B83="","",A83&amp;" · "&amp;B83)</f>
        <v/>
      </c>
    </row>
    <row r="84" customFormat="false" ht="15" hidden="false" customHeight="false" outlineLevel="0" collapsed="false">
      <c r="A84" s="101" t="s">
        <v>1087</v>
      </c>
      <c r="B84" s="102"/>
      <c r="C84" s="102"/>
      <c r="D84" s="102"/>
      <c r="E84" s="103"/>
      <c r="F84" s="102"/>
      <c r="G84" s="103"/>
      <c r="H84" s="103"/>
      <c r="I84" s="96" t="str">
        <f aca="false">IF(OR(G84="",H84=""),"",G84*H84)</f>
        <v/>
      </c>
      <c r="J84" s="99" t="str">
        <f aca="false">IF(I84="","",IF(I84&gt;=15,"Crítica",IF(I84&gt;=9,"Alta",IF(I84&gt;=4,"Média","Baixa"))))</f>
        <v/>
      </c>
      <c r="K84" s="102"/>
      <c r="L84" s="102"/>
      <c r="M84" s="103"/>
      <c r="N84" s="96" t="str">
        <f aca="false">IF(B84="","",COUNTIF('Feira - Soluções'!$C$5:$C$500,A84&amp;"*"))</f>
        <v/>
      </c>
      <c r="O84" s="104"/>
      <c r="P84" s="102"/>
      <c r="Q84" s="102"/>
      <c r="R84" s="100" t="str">
        <f aca="false">IF(B84="","",A84&amp;" · "&amp;B84)</f>
        <v/>
      </c>
    </row>
    <row r="85" customFormat="false" ht="15" hidden="false" customHeight="false" outlineLevel="0" collapsed="false">
      <c r="A85" s="93" t="s">
        <v>1088</v>
      </c>
      <c r="B85" s="105"/>
      <c r="C85" s="105"/>
      <c r="D85" s="105"/>
      <c r="E85" s="106"/>
      <c r="F85" s="105"/>
      <c r="G85" s="106"/>
      <c r="H85" s="106"/>
      <c r="I85" s="96" t="str">
        <f aca="false">IF(OR(G85="",H85=""),"",G85*H85)</f>
        <v/>
      </c>
      <c r="J85" s="99" t="str">
        <f aca="false">IF(I85="","",IF(I85&gt;=15,"Crítica",IF(I85&gt;=9,"Alta",IF(I85&gt;=4,"Média","Baixa"))))</f>
        <v/>
      </c>
      <c r="K85" s="105"/>
      <c r="L85" s="105"/>
      <c r="M85" s="106"/>
      <c r="N85" s="96" t="str">
        <f aca="false">IF(B85="","",COUNTIF('Feira - Soluções'!$C$5:$C$500,A85&amp;"*"))</f>
        <v/>
      </c>
      <c r="O85" s="107"/>
      <c r="P85" s="105"/>
      <c r="Q85" s="105"/>
      <c r="R85" s="100" t="str">
        <f aca="false">IF(B85="","",A85&amp;" · "&amp;B85)</f>
        <v/>
      </c>
    </row>
    <row r="86" customFormat="false" ht="15" hidden="false" customHeight="false" outlineLevel="0" collapsed="false">
      <c r="A86" s="101" t="s">
        <v>1089</v>
      </c>
      <c r="B86" s="102"/>
      <c r="C86" s="102"/>
      <c r="D86" s="102"/>
      <c r="E86" s="103"/>
      <c r="F86" s="102"/>
      <c r="G86" s="103"/>
      <c r="H86" s="103"/>
      <c r="I86" s="96" t="str">
        <f aca="false">IF(OR(G86="",H86=""),"",G86*H86)</f>
        <v/>
      </c>
      <c r="J86" s="99" t="str">
        <f aca="false">IF(I86="","",IF(I86&gt;=15,"Crítica",IF(I86&gt;=9,"Alta",IF(I86&gt;=4,"Média","Baixa"))))</f>
        <v/>
      </c>
      <c r="K86" s="102"/>
      <c r="L86" s="102"/>
      <c r="M86" s="103"/>
      <c r="N86" s="96" t="str">
        <f aca="false">IF(B86="","",COUNTIF('Feira - Soluções'!$C$5:$C$500,A86&amp;"*"))</f>
        <v/>
      </c>
      <c r="O86" s="104"/>
      <c r="P86" s="102"/>
      <c r="Q86" s="102"/>
      <c r="R86" s="100" t="str">
        <f aca="false">IF(B86="","",A86&amp;" · "&amp;B86)</f>
        <v/>
      </c>
    </row>
    <row r="87" customFormat="false" ht="15" hidden="false" customHeight="false" outlineLevel="0" collapsed="false">
      <c r="A87" s="93" t="s">
        <v>1090</v>
      </c>
      <c r="B87" s="105"/>
      <c r="C87" s="105"/>
      <c r="D87" s="105"/>
      <c r="E87" s="106"/>
      <c r="F87" s="105"/>
      <c r="G87" s="106"/>
      <c r="H87" s="106"/>
      <c r="I87" s="96" t="str">
        <f aca="false">IF(OR(G87="",H87=""),"",G87*H87)</f>
        <v/>
      </c>
      <c r="J87" s="99" t="str">
        <f aca="false">IF(I87="","",IF(I87&gt;=15,"Crítica",IF(I87&gt;=9,"Alta",IF(I87&gt;=4,"Média","Baixa"))))</f>
        <v/>
      </c>
      <c r="K87" s="105"/>
      <c r="L87" s="105"/>
      <c r="M87" s="106"/>
      <c r="N87" s="96" t="str">
        <f aca="false">IF(B87="","",COUNTIF('Feira - Soluções'!$C$5:$C$500,A87&amp;"*"))</f>
        <v/>
      </c>
      <c r="O87" s="107"/>
      <c r="P87" s="105"/>
      <c r="Q87" s="105"/>
      <c r="R87" s="100" t="str">
        <f aca="false">IF(B87="","",A87&amp;" · "&amp;B87)</f>
        <v/>
      </c>
    </row>
    <row r="88" customFormat="false" ht="15" hidden="false" customHeight="false" outlineLevel="0" collapsed="false">
      <c r="A88" s="101" t="s">
        <v>1091</v>
      </c>
      <c r="B88" s="102"/>
      <c r="C88" s="102"/>
      <c r="D88" s="102"/>
      <c r="E88" s="103"/>
      <c r="F88" s="102"/>
      <c r="G88" s="103"/>
      <c r="H88" s="103"/>
      <c r="I88" s="96" t="str">
        <f aca="false">IF(OR(G88="",H88=""),"",G88*H88)</f>
        <v/>
      </c>
      <c r="J88" s="99" t="str">
        <f aca="false">IF(I88="","",IF(I88&gt;=15,"Crítica",IF(I88&gt;=9,"Alta",IF(I88&gt;=4,"Média","Baixa"))))</f>
        <v/>
      </c>
      <c r="K88" s="102"/>
      <c r="L88" s="102"/>
      <c r="M88" s="103"/>
      <c r="N88" s="96" t="str">
        <f aca="false">IF(B88="","",COUNTIF('Feira - Soluções'!$C$5:$C$500,A88&amp;"*"))</f>
        <v/>
      </c>
      <c r="O88" s="104"/>
      <c r="P88" s="102"/>
      <c r="Q88" s="102"/>
      <c r="R88" s="100" t="str">
        <f aca="false">IF(B88="","",A88&amp;" · "&amp;B88)</f>
        <v/>
      </c>
    </row>
    <row r="89" customFormat="false" ht="15" hidden="false" customHeight="false" outlineLevel="0" collapsed="false">
      <c r="A89" s="93" t="s">
        <v>1092</v>
      </c>
      <c r="B89" s="105"/>
      <c r="C89" s="105"/>
      <c r="D89" s="105"/>
      <c r="E89" s="106"/>
      <c r="F89" s="105"/>
      <c r="G89" s="106"/>
      <c r="H89" s="106"/>
      <c r="I89" s="96" t="str">
        <f aca="false">IF(OR(G89="",H89=""),"",G89*H89)</f>
        <v/>
      </c>
      <c r="J89" s="99" t="str">
        <f aca="false">IF(I89="","",IF(I89&gt;=15,"Crítica",IF(I89&gt;=9,"Alta",IF(I89&gt;=4,"Média","Baixa"))))</f>
        <v/>
      </c>
      <c r="K89" s="105"/>
      <c r="L89" s="105"/>
      <c r="M89" s="106"/>
      <c r="N89" s="96" t="str">
        <f aca="false">IF(B89="","",COUNTIF('Feira - Soluções'!$C$5:$C$500,A89&amp;"*"))</f>
        <v/>
      </c>
      <c r="O89" s="107"/>
      <c r="P89" s="105"/>
      <c r="Q89" s="105"/>
      <c r="R89" s="100" t="str">
        <f aca="false">IF(B89="","",A89&amp;" · "&amp;B89)</f>
        <v/>
      </c>
    </row>
    <row r="90" customFormat="false" ht="15" hidden="false" customHeight="false" outlineLevel="0" collapsed="false">
      <c r="A90" s="101" t="s">
        <v>1093</v>
      </c>
      <c r="B90" s="102"/>
      <c r="C90" s="102"/>
      <c r="D90" s="102"/>
      <c r="E90" s="103"/>
      <c r="F90" s="102"/>
      <c r="G90" s="103"/>
      <c r="H90" s="103"/>
      <c r="I90" s="96" t="str">
        <f aca="false">IF(OR(G90="",H90=""),"",G90*H90)</f>
        <v/>
      </c>
      <c r="J90" s="99" t="str">
        <f aca="false">IF(I90="","",IF(I90&gt;=15,"Crítica",IF(I90&gt;=9,"Alta",IF(I90&gt;=4,"Média","Baixa"))))</f>
        <v/>
      </c>
      <c r="K90" s="102"/>
      <c r="L90" s="102"/>
      <c r="M90" s="103"/>
      <c r="N90" s="96" t="str">
        <f aca="false">IF(B90="","",COUNTIF('Feira - Soluções'!$C$5:$C$500,A90&amp;"*"))</f>
        <v/>
      </c>
      <c r="O90" s="104"/>
      <c r="P90" s="102"/>
      <c r="Q90" s="102"/>
      <c r="R90" s="100" t="str">
        <f aca="false">IF(B90="","",A90&amp;" · "&amp;B90)</f>
        <v/>
      </c>
    </row>
    <row r="91" customFormat="false" ht="15" hidden="false" customHeight="false" outlineLevel="0" collapsed="false">
      <c r="A91" s="93" t="s">
        <v>1094</v>
      </c>
      <c r="B91" s="105"/>
      <c r="C91" s="105"/>
      <c r="D91" s="105"/>
      <c r="E91" s="106"/>
      <c r="F91" s="105"/>
      <c r="G91" s="106"/>
      <c r="H91" s="106"/>
      <c r="I91" s="96" t="str">
        <f aca="false">IF(OR(G91="",H91=""),"",G91*H91)</f>
        <v/>
      </c>
      <c r="J91" s="99" t="str">
        <f aca="false">IF(I91="","",IF(I91&gt;=15,"Crítica",IF(I91&gt;=9,"Alta",IF(I91&gt;=4,"Média","Baixa"))))</f>
        <v/>
      </c>
      <c r="K91" s="105"/>
      <c r="L91" s="105"/>
      <c r="M91" s="106"/>
      <c r="N91" s="96" t="str">
        <f aca="false">IF(B91="","",COUNTIF('Feira - Soluções'!$C$5:$C$500,A91&amp;"*"))</f>
        <v/>
      </c>
      <c r="O91" s="107"/>
      <c r="P91" s="105"/>
      <c r="Q91" s="105"/>
      <c r="R91" s="100" t="str">
        <f aca="false">IF(B91="","",A91&amp;" · "&amp;B91)</f>
        <v/>
      </c>
    </row>
    <row r="92" customFormat="false" ht="15" hidden="false" customHeight="false" outlineLevel="0" collapsed="false">
      <c r="A92" s="101" t="s">
        <v>1095</v>
      </c>
      <c r="B92" s="102"/>
      <c r="C92" s="102"/>
      <c r="D92" s="102"/>
      <c r="E92" s="103"/>
      <c r="F92" s="102"/>
      <c r="G92" s="103"/>
      <c r="H92" s="103"/>
      <c r="I92" s="96" t="str">
        <f aca="false">IF(OR(G92="",H92=""),"",G92*H92)</f>
        <v/>
      </c>
      <c r="J92" s="99" t="str">
        <f aca="false">IF(I92="","",IF(I92&gt;=15,"Crítica",IF(I92&gt;=9,"Alta",IF(I92&gt;=4,"Média","Baixa"))))</f>
        <v/>
      </c>
      <c r="K92" s="102"/>
      <c r="L92" s="102"/>
      <c r="M92" s="103"/>
      <c r="N92" s="96" t="str">
        <f aca="false">IF(B92="","",COUNTIF('Feira - Soluções'!$C$5:$C$500,A92&amp;"*"))</f>
        <v/>
      </c>
      <c r="O92" s="104"/>
      <c r="P92" s="102"/>
      <c r="Q92" s="102"/>
      <c r="R92" s="100" t="str">
        <f aca="false">IF(B92="","",A92&amp;" · "&amp;B92)</f>
        <v/>
      </c>
    </row>
    <row r="93" customFormat="false" ht="15" hidden="false" customHeight="false" outlineLevel="0" collapsed="false">
      <c r="A93" s="93" t="s">
        <v>1096</v>
      </c>
      <c r="B93" s="105"/>
      <c r="C93" s="105"/>
      <c r="D93" s="105"/>
      <c r="E93" s="106"/>
      <c r="F93" s="105"/>
      <c r="G93" s="106"/>
      <c r="H93" s="106"/>
      <c r="I93" s="96" t="str">
        <f aca="false">IF(OR(G93="",H93=""),"",G93*H93)</f>
        <v/>
      </c>
      <c r="J93" s="99" t="str">
        <f aca="false">IF(I93="","",IF(I93&gt;=15,"Crítica",IF(I93&gt;=9,"Alta",IF(I93&gt;=4,"Média","Baixa"))))</f>
        <v/>
      </c>
      <c r="K93" s="105"/>
      <c r="L93" s="105"/>
      <c r="M93" s="106"/>
      <c r="N93" s="96" t="str">
        <f aca="false">IF(B93="","",COUNTIF('Feira - Soluções'!$C$5:$C$500,A93&amp;"*"))</f>
        <v/>
      </c>
      <c r="O93" s="107"/>
      <c r="P93" s="105"/>
      <c r="Q93" s="105"/>
      <c r="R93" s="100" t="str">
        <f aca="false">IF(B93="","",A93&amp;" · "&amp;B93)</f>
        <v/>
      </c>
    </row>
    <row r="94" customFormat="false" ht="15" hidden="false" customHeight="false" outlineLevel="0" collapsed="false">
      <c r="A94" s="101" t="s">
        <v>1097</v>
      </c>
      <c r="B94" s="102"/>
      <c r="C94" s="102"/>
      <c r="D94" s="102"/>
      <c r="E94" s="103"/>
      <c r="F94" s="102"/>
      <c r="G94" s="103"/>
      <c r="H94" s="103"/>
      <c r="I94" s="96" t="str">
        <f aca="false">IF(OR(G94="",H94=""),"",G94*H94)</f>
        <v/>
      </c>
      <c r="J94" s="99" t="str">
        <f aca="false">IF(I94="","",IF(I94&gt;=15,"Crítica",IF(I94&gt;=9,"Alta",IF(I94&gt;=4,"Média","Baixa"))))</f>
        <v/>
      </c>
      <c r="K94" s="102"/>
      <c r="L94" s="102"/>
      <c r="M94" s="103"/>
      <c r="N94" s="96" t="str">
        <f aca="false">IF(B94="","",COUNTIF('Feira - Soluções'!$C$5:$C$500,A94&amp;"*"))</f>
        <v/>
      </c>
      <c r="O94" s="104"/>
      <c r="P94" s="102"/>
      <c r="Q94" s="102"/>
      <c r="R94" s="100" t="str">
        <f aca="false">IF(B94="","",A94&amp;" · "&amp;B94)</f>
        <v/>
      </c>
    </row>
    <row r="95" customFormat="false" ht="15" hidden="false" customHeight="false" outlineLevel="0" collapsed="false">
      <c r="A95" s="93" t="s">
        <v>1098</v>
      </c>
      <c r="B95" s="105"/>
      <c r="C95" s="105"/>
      <c r="D95" s="105"/>
      <c r="E95" s="106"/>
      <c r="F95" s="105"/>
      <c r="G95" s="106"/>
      <c r="H95" s="106"/>
      <c r="I95" s="96" t="str">
        <f aca="false">IF(OR(G95="",H95=""),"",G95*H95)</f>
        <v/>
      </c>
      <c r="J95" s="99" t="str">
        <f aca="false">IF(I95="","",IF(I95&gt;=15,"Crítica",IF(I95&gt;=9,"Alta",IF(I95&gt;=4,"Média","Baixa"))))</f>
        <v/>
      </c>
      <c r="K95" s="105"/>
      <c r="L95" s="105"/>
      <c r="M95" s="106"/>
      <c r="N95" s="96" t="str">
        <f aca="false">IF(B95="","",COUNTIF('Feira - Soluções'!$C$5:$C$500,A95&amp;"*"))</f>
        <v/>
      </c>
      <c r="O95" s="107"/>
      <c r="P95" s="105"/>
      <c r="Q95" s="105"/>
      <c r="R95" s="100" t="str">
        <f aca="false">IF(B95="","",A95&amp;" · "&amp;B95)</f>
        <v/>
      </c>
    </row>
    <row r="96" customFormat="false" ht="15" hidden="false" customHeight="false" outlineLevel="0" collapsed="false">
      <c r="A96" s="101" t="s">
        <v>1099</v>
      </c>
      <c r="B96" s="102"/>
      <c r="C96" s="102"/>
      <c r="D96" s="102"/>
      <c r="E96" s="103"/>
      <c r="F96" s="102"/>
      <c r="G96" s="103"/>
      <c r="H96" s="103"/>
      <c r="I96" s="96" t="str">
        <f aca="false">IF(OR(G96="",H96=""),"",G96*H96)</f>
        <v/>
      </c>
      <c r="J96" s="99" t="str">
        <f aca="false">IF(I96="","",IF(I96&gt;=15,"Crítica",IF(I96&gt;=9,"Alta",IF(I96&gt;=4,"Média","Baixa"))))</f>
        <v/>
      </c>
      <c r="K96" s="102"/>
      <c r="L96" s="102"/>
      <c r="M96" s="103"/>
      <c r="N96" s="96" t="str">
        <f aca="false">IF(B96="","",COUNTIF('Feira - Soluções'!$C$5:$C$500,A96&amp;"*"))</f>
        <v/>
      </c>
      <c r="O96" s="104"/>
      <c r="P96" s="102"/>
      <c r="Q96" s="102"/>
      <c r="R96" s="100" t="str">
        <f aca="false">IF(B96="","",A96&amp;" · "&amp;B96)</f>
        <v/>
      </c>
    </row>
    <row r="97" customFormat="false" ht="15" hidden="false" customHeight="false" outlineLevel="0" collapsed="false">
      <c r="A97" s="93" t="s">
        <v>1100</v>
      </c>
      <c r="B97" s="105"/>
      <c r="C97" s="105"/>
      <c r="D97" s="105"/>
      <c r="E97" s="106"/>
      <c r="F97" s="105"/>
      <c r="G97" s="106"/>
      <c r="H97" s="106"/>
      <c r="I97" s="96" t="str">
        <f aca="false">IF(OR(G97="",H97=""),"",G97*H97)</f>
        <v/>
      </c>
      <c r="J97" s="99" t="str">
        <f aca="false">IF(I97="","",IF(I97&gt;=15,"Crítica",IF(I97&gt;=9,"Alta",IF(I97&gt;=4,"Média","Baixa"))))</f>
        <v/>
      </c>
      <c r="K97" s="105"/>
      <c r="L97" s="105"/>
      <c r="M97" s="106"/>
      <c r="N97" s="96" t="str">
        <f aca="false">IF(B97="","",COUNTIF('Feira - Soluções'!$C$5:$C$500,A97&amp;"*"))</f>
        <v/>
      </c>
      <c r="O97" s="107"/>
      <c r="P97" s="105"/>
      <c r="Q97" s="105"/>
      <c r="R97" s="100" t="str">
        <f aca="false">IF(B97="","",A97&amp;" · "&amp;B97)</f>
        <v/>
      </c>
    </row>
    <row r="98" customFormat="false" ht="15" hidden="false" customHeight="false" outlineLevel="0" collapsed="false">
      <c r="A98" s="101" t="s">
        <v>1101</v>
      </c>
      <c r="B98" s="102"/>
      <c r="C98" s="102"/>
      <c r="D98" s="102"/>
      <c r="E98" s="103"/>
      <c r="F98" s="102"/>
      <c r="G98" s="103"/>
      <c r="H98" s="103"/>
      <c r="I98" s="96" t="str">
        <f aca="false">IF(OR(G98="",H98=""),"",G98*H98)</f>
        <v/>
      </c>
      <c r="J98" s="99" t="str">
        <f aca="false">IF(I98="","",IF(I98&gt;=15,"Crítica",IF(I98&gt;=9,"Alta",IF(I98&gt;=4,"Média","Baixa"))))</f>
        <v/>
      </c>
      <c r="K98" s="102"/>
      <c r="L98" s="102"/>
      <c r="M98" s="103"/>
      <c r="N98" s="96" t="str">
        <f aca="false">IF(B98="","",COUNTIF('Feira - Soluções'!$C$5:$C$500,A98&amp;"*"))</f>
        <v/>
      </c>
      <c r="O98" s="104"/>
      <c r="P98" s="102"/>
      <c r="Q98" s="102"/>
      <c r="R98" s="100" t="str">
        <f aca="false">IF(B98="","",A98&amp;" · "&amp;B98)</f>
        <v/>
      </c>
    </row>
    <row r="99" customFormat="false" ht="15" hidden="false" customHeight="false" outlineLevel="0" collapsed="false">
      <c r="A99" s="93" t="s">
        <v>1102</v>
      </c>
      <c r="B99" s="105"/>
      <c r="C99" s="105"/>
      <c r="D99" s="105"/>
      <c r="E99" s="106"/>
      <c r="F99" s="105"/>
      <c r="G99" s="106"/>
      <c r="H99" s="106"/>
      <c r="I99" s="96" t="str">
        <f aca="false">IF(OR(G99="",H99=""),"",G99*H99)</f>
        <v/>
      </c>
      <c r="J99" s="99" t="str">
        <f aca="false">IF(I99="","",IF(I99&gt;=15,"Crítica",IF(I99&gt;=9,"Alta",IF(I99&gt;=4,"Média","Baixa"))))</f>
        <v/>
      </c>
      <c r="K99" s="105"/>
      <c r="L99" s="105"/>
      <c r="M99" s="106"/>
      <c r="N99" s="96" t="str">
        <f aca="false">IF(B99="","",COUNTIF('Feira - Soluções'!$C$5:$C$500,A99&amp;"*"))</f>
        <v/>
      </c>
      <c r="O99" s="107"/>
      <c r="P99" s="105"/>
      <c r="Q99" s="105"/>
      <c r="R99" s="100" t="str">
        <f aca="false">IF(B99="","",A99&amp;" · "&amp;B99)</f>
        <v/>
      </c>
    </row>
    <row r="100" customFormat="false" ht="15" hidden="false" customHeight="false" outlineLevel="0" collapsed="false">
      <c r="A100" s="101" t="s">
        <v>1103</v>
      </c>
      <c r="B100" s="102"/>
      <c r="C100" s="102"/>
      <c r="D100" s="102"/>
      <c r="E100" s="103"/>
      <c r="F100" s="102"/>
      <c r="G100" s="103"/>
      <c r="H100" s="103"/>
      <c r="I100" s="96" t="str">
        <f aca="false">IF(OR(G100="",H100=""),"",G100*H100)</f>
        <v/>
      </c>
      <c r="J100" s="99" t="str">
        <f aca="false">IF(I100="","",IF(I100&gt;=15,"Crítica",IF(I100&gt;=9,"Alta",IF(I100&gt;=4,"Média","Baixa"))))</f>
        <v/>
      </c>
      <c r="K100" s="102"/>
      <c r="L100" s="102"/>
      <c r="M100" s="103"/>
      <c r="N100" s="96" t="str">
        <f aca="false">IF(B100="","",COUNTIF('Feira - Soluções'!$C$5:$C$500,A100&amp;"*"))</f>
        <v/>
      </c>
      <c r="O100" s="104"/>
      <c r="P100" s="102"/>
      <c r="Q100" s="102"/>
      <c r="R100" s="100" t="str">
        <f aca="false">IF(B100="","",A100&amp;" · "&amp;B100)</f>
        <v/>
      </c>
    </row>
    <row r="101" customFormat="false" ht="15" hidden="false" customHeight="false" outlineLevel="0" collapsed="false">
      <c r="A101" s="93" t="s">
        <v>1104</v>
      </c>
      <c r="B101" s="105"/>
      <c r="C101" s="105"/>
      <c r="D101" s="105"/>
      <c r="E101" s="106"/>
      <c r="F101" s="105"/>
      <c r="G101" s="106"/>
      <c r="H101" s="106"/>
      <c r="I101" s="96" t="str">
        <f aca="false">IF(OR(G101="",H101=""),"",G101*H101)</f>
        <v/>
      </c>
      <c r="J101" s="99" t="str">
        <f aca="false">IF(I101="","",IF(I101&gt;=15,"Crítica",IF(I101&gt;=9,"Alta",IF(I101&gt;=4,"Média","Baixa"))))</f>
        <v/>
      </c>
      <c r="K101" s="105"/>
      <c r="L101" s="105"/>
      <c r="M101" s="106"/>
      <c r="N101" s="96" t="str">
        <f aca="false">IF(B101="","",COUNTIF('Feira - Soluções'!$C$5:$C$500,A101&amp;"*"))</f>
        <v/>
      </c>
      <c r="O101" s="107"/>
      <c r="P101" s="105"/>
      <c r="Q101" s="105"/>
      <c r="R101" s="100" t="str">
        <f aca="false">IF(B101="","",A101&amp;" · "&amp;B101)</f>
        <v/>
      </c>
    </row>
    <row r="102" customFormat="false" ht="15" hidden="false" customHeight="false" outlineLevel="0" collapsed="false">
      <c r="A102" s="101" t="s">
        <v>1105</v>
      </c>
      <c r="B102" s="102"/>
      <c r="C102" s="102"/>
      <c r="D102" s="102"/>
      <c r="E102" s="103"/>
      <c r="F102" s="102"/>
      <c r="G102" s="103"/>
      <c r="H102" s="103"/>
      <c r="I102" s="96" t="str">
        <f aca="false">IF(OR(G102="",H102=""),"",G102*H102)</f>
        <v/>
      </c>
      <c r="J102" s="99" t="str">
        <f aca="false">IF(I102="","",IF(I102&gt;=15,"Crítica",IF(I102&gt;=9,"Alta",IF(I102&gt;=4,"Média","Baixa"))))</f>
        <v/>
      </c>
      <c r="K102" s="102"/>
      <c r="L102" s="102"/>
      <c r="M102" s="103"/>
      <c r="N102" s="96" t="str">
        <f aca="false">IF(B102="","",COUNTIF('Feira - Soluções'!$C$5:$C$500,A102&amp;"*"))</f>
        <v/>
      </c>
      <c r="O102" s="104"/>
      <c r="P102" s="102"/>
      <c r="Q102" s="102"/>
      <c r="R102" s="100" t="str">
        <f aca="false">IF(B102="","",A102&amp;" · "&amp;B102)</f>
        <v/>
      </c>
    </row>
    <row r="103" customFormat="false" ht="15" hidden="false" customHeight="false" outlineLevel="0" collapsed="false">
      <c r="A103" s="93" t="s">
        <v>1106</v>
      </c>
      <c r="B103" s="105"/>
      <c r="C103" s="105"/>
      <c r="D103" s="105"/>
      <c r="E103" s="106"/>
      <c r="F103" s="105"/>
      <c r="G103" s="106"/>
      <c r="H103" s="106"/>
      <c r="I103" s="96" t="str">
        <f aca="false">IF(OR(G103="",H103=""),"",G103*H103)</f>
        <v/>
      </c>
      <c r="J103" s="99" t="str">
        <f aca="false">IF(I103="","",IF(I103&gt;=15,"Crítica",IF(I103&gt;=9,"Alta",IF(I103&gt;=4,"Média","Baixa"))))</f>
        <v/>
      </c>
      <c r="K103" s="105"/>
      <c r="L103" s="105"/>
      <c r="M103" s="106"/>
      <c r="N103" s="96" t="str">
        <f aca="false">IF(B103="","",COUNTIF('Feira - Soluções'!$C$5:$C$500,A103&amp;"*"))</f>
        <v/>
      </c>
      <c r="O103" s="107"/>
      <c r="P103" s="105"/>
      <c r="Q103" s="105"/>
      <c r="R103" s="100" t="str">
        <f aca="false">IF(B103="","",A103&amp;" · "&amp;B103)</f>
        <v/>
      </c>
    </row>
    <row r="104" customFormat="false" ht="15" hidden="false" customHeight="false" outlineLevel="0" collapsed="false">
      <c r="A104" s="101" t="s">
        <v>1107</v>
      </c>
      <c r="B104" s="102"/>
      <c r="C104" s="102"/>
      <c r="D104" s="102"/>
      <c r="E104" s="103"/>
      <c r="F104" s="102"/>
      <c r="G104" s="103"/>
      <c r="H104" s="103"/>
      <c r="I104" s="96" t="str">
        <f aca="false">IF(OR(G104="",H104=""),"",G104*H104)</f>
        <v/>
      </c>
      <c r="J104" s="99" t="str">
        <f aca="false">IF(I104="","",IF(I104&gt;=15,"Crítica",IF(I104&gt;=9,"Alta",IF(I104&gt;=4,"Média","Baixa"))))</f>
        <v/>
      </c>
      <c r="K104" s="102"/>
      <c r="L104" s="102"/>
      <c r="M104" s="103"/>
      <c r="N104" s="96" t="str">
        <f aca="false">IF(B104="","",COUNTIF('Feira - Soluções'!$C$5:$C$500,A104&amp;"*"))</f>
        <v/>
      </c>
      <c r="O104" s="104"/>
      <c r="P104" s="102"/>
      <c r="Q104" s="102"/>
      <c r="R104" s="100" t="str">
        <f aca="false">IF(B104="","",A104&amp;" · "&amp;B104)</f>
        <v/>
      </c>
    </row>
  </sheetData>
  <autoFilter ref="A4:R104"/>
  <mergeCells count="4">
    <mergeCell ref="A3:F3"/>
    <mergeCell ref="G3:J3"/>
    <mergeCell ref="K3:N3"/>
    <mergeCell ref="O3:R3"/>
  </mergeCells>
  <conditionalFormatting sqref="A5:A500">
    <cfRule type="expression" priority="2" aboveAverage="0" equalAverage="0" bottom="0" percent="0" rank="0" text="" dxfId="13">
      <formula>$B5&lt;&gt;""</formula>
    </cfRule>
  </conditionalFormatting>
  <conditionalFormatting sqref="J5:J500">
    <cfRule type="expression" priority="3" aboveAverage="0" equalAverage="0" bottom="0" percent="0" rank="0" text="" dxfId="20">
      <formula>$J5="Crítica"</formula>
    </cfRule>
    <cfRule type="expression" priority="4" aboveAverage="0" equalAverage="0" bottom="0" percent="0" rank="0" text="" dxfId="27">
      <formula>$J5="Alta"</formula>
    </cfRule>
    <cfRule type="expression" priority="5" aboveAverage="0" equalAverage="0" bottom="0" percent="0" rank="0" text="" dxfId="28">
      <formula>$J5="Média"</formula>
    </cfRule>
    <cfRule type="expression" priority="6" aboveAverage="0" equalAverage="0" bottom="0" percent="0" rank="0" text="" dxfId="29">
      <formula>$J5="Baixa"</formula>
    </cfRule>
  </conditionalFormatting>
  <conditionalFormatting sqref="E5:E500">
    <cfRule type="expression" priority="7" aboveAverage="0" equalAverage="0" bottom="0" percent="0" rank="0" text="" dxfId="30">
      <formula>$E5="Ocorrendo hoje"</formula>
    </cfRule>
    <cfRule type="expression" priority="8" aboveAverage="0" equalAverage="0" bottom="0" percent="0" rank="0" text="" dxfId="31">
      <formula>$E5="Risco potencial"</formula>
    </cfRule>
  </conditionalFormatting>
  <conditionalFormatting sqref="M5:M500">
    <cfRule type="expression" priority="9" aboveAverage="0" equalAverage="0" bottom="0" percent="0" rank="0" text="" dxfId="14">
      <formula>$M5="Resolvido"</formula>
    </cfRule>
    <cfRule type="expression" priority="10" aboveAverage="0" equalAverage="0" bottom="0" percent="0" rank="0" text="" dxfId="15">
      <formula>$M5="Solução em teste"</formula>
    </cfRule>
    <cfRule type="expression" priority="11" aboveAverage="0" equalAverage="0" bottom="0" percent="0" rank="0" text="" dxfId="17">
      <formula>$M5="Buscando solução"</formula>
    </cfRule>
    <cfRule type="expression" priority="12" aboveAverage="0" equalAverage="0" bottom="0" percent="0" rank="0" text="" dxfId="18">
      <formula>$M5="Arquivado"</formula>
    </cfRule>
  </conditionalFormatting>
  <conditionalFormatting sqref="N5:N500">
    <cfRule type="expression" priority="13" aboveAverage="0" equalAverage="0" bottom="0" percent="0" rank="0" text="" dxfId="32">
      <formula>AND($B5&lt;&gt;"",$N5=0)</formula>
    </cfRule>
  </conditionalFormatting>
  <dataValidations count="7">
    <dataValidation allowBlank="true" error="Digite uma data válida no formato dd/mm/aaaa." errorStyle="stop" errorTitle="Data inválida" operator="greaterThan" showDropDown="false" showErrorMessage="true" showInputMessage="false" sqref="O5:O500" type="date">
      <formula1>36526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D5:D500" type="list">
      <formula1>lst_Categoria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lst_SitProblema</formula1>
      <formula2>0</formula2>
    </dataValidation>
    <dataValidation allowBlank="true" error="Escolha uma opção da lista. As opções podem ser editadas na aba Listas." errorStyle="stop" errorTitle="Valor fora da lista" operator="between" prompt="1 = muito baixo · 3 = médio · 5 = muito alto (afeta o resultado do projeto/CEMP)." promptTitle="Impacto" showDropDown="false" showErrorMessage="true" showInputMessage="true" sqref="G5:G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prompt="1 = raro · 3 = acontece às vezes · 5 = acontece sempre / quase certo." promptTitle="Probabilidade" showDropDown="false" showErrorMessage="true" showInputMessage="true" sqref="H5:H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lst_Diretoria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M5:M500" type="list">
      <formula1>lst_StatusProblema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2C91"/>
    <pageSetUpPr fitToPage="true"/>
  </sheetPr>
  <dimension ref="A1:U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19"/>
    <col collapsed="false" customWidth="true" hidden="false" outlineLevel="0" max="7" min="7" style="0" width="17"/>
    <col collapsed="false" customWidth="true" hidden="false" outlineLevel="0" max="8" min="8" style="0" width="56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17"/>
    <col collapsed="false" customWidth="true" hidden="false" outlineLevel="0" max="14" min="14" style="0" width="40"/>
    <col collapsed="false" customWidth="true" hidden="false" outlineLevel="0" max="15" min="15" style="0" width="28"/>
    <col collapsed="false" customWidth="true" hidden="false" outlineLevel="0" max="16" min="16" style="0" width="16"/>
    <col collapsed="false" customWidth="true" hidden="false" outlineLevel="0" max="17" min="17" style="0" width="17"/>
    <col collapsed="false" customWidth="true" hidden="false" outlineLevel="0" max="18" min="18" style="0" width="12"/>
    <col collapsed="false" customWidth="true" hidden="false" outlineLevel="0" max="19" min="19" style="0" width="34"/>
    <col collapsed="false" customWidth="true" hidden="false" outlineLevel="0" max="20" min="20" style="0" width="12"/>
    <col collapsed="false" customWidth="true" hidden="false" outlineLevel="0" max="21" min="21" style="0" width="16"/>
  </cols>
  <sheetData>
    <row r="1" customFormat="false" ht="31.5" hidden="false" customHeight="true" outlineLevel="0" collapsed="false">
      <c r="A1" s="83" t="s">
        <v>1108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9.5" hidden="false" customHeight="true" outlineLevel="0" collapsed="false">
      <c r="A2" s="123" t="s">
        <v>70</v>
      </c>
      <c r="B2" s="124" t="str">
        <f aca="false">"Soluções encontradas em outros projetos/empresas para: Feira de Empreendedorismo   ·   "&amp;COUNTA(B5:B500)&amp;" registro(s)"</f>
        <v>Soluções encontradas em outros projetos/empresas para: Feira de Empreendedorismo   ·   1 registro(s)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</row>
    <row r="3" customFormat="false" ht="16.5" hidden="false" customHeight="true" outlineLevel="0" collapsed="false">
      <c r="A3" s="87" t="s">
        <v>649</v>
      </c>
      <c r="B3" s="87"/>
      <c r="C3" s="87"/>
      <c r="D3" s="87"/>
      <c r="E3" s="88" t="s">
        <v>650</v>
      </c>
      <c r="F3" s="88"/>
      <c r="G3" s="88"/>
      <c r="H3" s="89" t="s">
        <v>651</v>
      </c>
      <c r="I3" s="89"/>
      <c r="J3" s="89"/>
      <c r="K3" s="90" t="s">
        <v>652</v>
      </c>
      <c r="L3" s="90"/>
      <c r="M3" s="90"/>
      <c r="N3" s="113" t="s">
        <v>653</v>
      </c>
      <c r="O3" s="113"/>
      <c r="P3" s="114" t="s">
        <v>654</v>
      </c>
      <c r="Q3" s="114"/>
      <c r="R3" s="114"/>
      <c r="S3" s="115" t="s">
        <v>523</v>
      </c>
      <c r="T3" s="115"/>
      <c r="U3" s="115"/>
    </row>
    <row r="4" customFormat="false" ht="42" hidden="false" customHeight="true" outlineLevel="0" collapsed="false">
      <c r="A4" s="126" t="s">
        <v>118</v>
      </c>
      <c r="B4" s="126" t="s">
        <v>655</v>
      </c>
      <c r="C4" s="126" t="s">
        <v>656</v>
      </c>
      <c r="D4" s="126" t="s">
        <v>657</v>
      </c>
      <c r="E4" s="126" t="s">
        <v>658</v>
      </c>
      <c r="F4" s="92" t="s">
        <v>659</v>
      </c>
      <c r="G4" s="126" t="s">
        <v>660</v>
      </c>
      <c r="H4" s="126" t="s">
        <v>661</v>
      </c>
      <c r="I4" s="126" t="s">
        <v>662</v>
      </c>
      <c r="J4" s="126" t="s">
        <v>663</v>
      </c>
      <c r="K4" s="126" t="s">
        <v>664</v>
      </c>
      <c r="L4" s="126" t="s">
        <v>665</v>
      </c>
      <c r="M4" s="92" t="s">
        <v>666</v>
      </c>
      <c r="N4" s="126" t="s">
        <v>667</v>
      </c>
      <c r="O4" s="126" t="s">
        <v>668</v>
      </c>
      <c r="P4" s="126" t="s">
        <v>669</v>
      </c>
      <c r="Q4" s="126" t="s">
        <v>670</v>
      </c>
      <c r="R4" s="126" t="s">
        <v>671</v>
      </c>
      <c r="S4" s="126" t="s">
        <v>672</v>
      </c>
      <c r="T4" s="126" t="s">
        <v>536</v>
      </c>
      <c r="U4" s="126" t="s">
        <v>537</v>
      </c>
    </row>
    <row r="5" customFormat="false" ht="46.25" hidden="false" customHeight="false" outlineLevel="0" collapsed="false">
      <c r="A5" s="93" t="s">
        <v>1109</v>
      </c>
      <c r="B5" s="94" t="s">
        <v>1110</v>
      </c>
      <c r="C5" s="94" t="s">
        <v>1111</v>
      </c>
      <c r="D5" s="94" t="s">
        <v>1112</v>
      </c>
      <c r="E5" s="94" t="s">
        <v>313</v>
      </c>
      <c r="F5" s="99" t="str">
        <f aca="false">IF(E5="","",IFERROR(INDEX('Fontes e Parcerias'!$C$5:$C$500,MATCH(IFERROR(LEFT(E5,FIND(" · ",E5)-1),E5),'Fontes e Parcerias'!$A$5:$A$500,0)),"Fonte não encontrada"))</f>
        <v>Empresa Júnior</v>
      </c>
      <c r="G5" s="95" t="s">
        <v>677</v>
      </c>
      <c r="H5" s="94" t="s">
        <v>1113</v>
      </c>
      <c r="I5" s="94" t="s">
        <v>1114</v>
      </c>
      <c r="J5" s="116" t="n">
        <v>150</v>
      </c>
      <c r="K5" s="95" t="s">
        <v>898</v>
      </c>
      <c r="L5" s="95" t="s">
        <v>681</v>
      </c>
      <c r="M5" s="99" t="str">
        <f aca="false">IF(OR(K5="",L5=""),"",IF((IF(L5="Alto",3,IF(L5="Médio",2,1))-IF(K5="Alto",3,IF(K5="Médio",2,1)))=2,"⚡ Quick win",IF((IF(L5="Alto",3,IF(L5="Médio",2,1))-IF(K5="Alto",3,IF(K5="Médio",2,1)))=1,"🚀 Alto retorno",IF(AND(L5="Alto",K5="Alto"),"🎯 Estratégica",IF((IF(L5="Alto",3,IF(L5="Médio",2,1))-IF(K5="Alto",3,IF(K5="Médio",2,1)))=0,"⚖ Equilibrada","⏳ Baixo retorno")))))</f>
        <v>🚀 Alto retorno</v>
      </c>
      <c r="N5" s="94" t="s">
        <v>1115</v>
      </c>
      <c r="O5" s="94" t="s">
        <v>900</v>
      </c>
      <c r="P5" s="95" t="s">
        <v>101</v>
      </c>
      <c r="Q5" s="94" t="s">
        <v>684</v>
      </c>
      <c r="R5" s="98" t="n">
        <v>46338</v>
      </c>
      <c r="S5" s="94" t="s">
        <v>548</v>
      </c>
      <c r="T5" s="98" t="n">
        <v>46293</v>
      </c>
      <c r="U5" s="94" t="s">
        <v>547</v>
      </c>
    </row>
    <row r="6" customFormat="false" ht="15" hidden="false" customHeight="false" outlineLevel="0" collapsed="false">
      <c r="A6" s="101" t="s">
        <v>1116</v>
      </c>
      <c r="B6" s="102"/>
      <c r="C6" s="102"/>
      <c r="D6" s="102"/>
      <c r="E6" s="102"/>
      <c r="F6" s="99" t="str">
        <f aca="false">IF(E6="","",IFERROR(INDEX('Fontes e Parcerias'!$C$5:$C$500,MATCH(IFERROR(LEFT(E6,FIND(" · ",E6)-1),E6),'Fontes e Parcerias'!$A$5:$A$500,0)),"Fonte não encontrada"))</f>
        <v/>
      </c>
      <c r="G6" s="103"/>
      <c r="H6" s="102"/>
      <c r="I6" s="102"/>
      <c r="J6" s="117"/>
      <c r="K6" s="103"/>
      <c r="L6" s="103"/>
      <c r="M6" s="99" t="str">
        <f aca="false">IF(OR(K6="",L6=""),"",IF((IF(L6="Alto",3,IF(L6="Médio",2,1))-IF(K6="Alto",3,IF(K6="Médio",2,1)))=2,"⚡ Quick win",IF((IF(L6="Alto",3,IF(L6="Médio",2,1))-IF(K6="Alto",3,IF(K6="Médio",2,1)))=1,"🚀 Alto retorno",IF(AND(L6="Alto",K6="Alto"),"🎯 Estratégica",IF((IF(L6="Alto",3,IF(L6="Médio",2,1))-IF(K6="Alto",3,IF(K6="Médio",2,1)))=0,"⚖ Equilibrada","⏳ Baixo retorno")))))</f>
        <v/>
      </c>
      <c r="N6" s="102"/>
      <c r="O6" s="102"/>
      <c r="P6" s="103"/>
      <c r="Q6" s="102"/>
      <c r="R6" s="104"/>
      <c r="S6" s="102"/>
      <c r="T6" s="104"/>
      <c r="U6" s="102"/>
    </row>
    <row r="7" customFormat="false" ht="15" hidden="false" customHeight="false" outlineLevel="0" collapsed="false">
      <c r="A7" s="93" t="s">
        <v>1117</v>
      </c>
      <c r="B7" s="105"/>
      <c r="C7" s="105"/>
      <c r="D7" s="105"/>
      <c r="E7" s="105"/>
      <c r="F7" s="99" t="str">
        <f aca="false">IF(E7="","",IFERROR(INDEX('Fontes e Parcerias'!$C$5:$C$500,MATCH(IFERROR(LEFT(E7,FIND(" · ",E7)-1),E7),'Fontes e Parcerias'!$A$5:$A$500,0)),"Fonte não encontrada"))</f>
        <v/>
      </c>
      <c r="G7" s="106"/>
      <c r="H7" s="105"/>
      <c r="I7" s="105"/>
      <c r="J7" s="118"/>
      <c r="K7" s="106"/>
      <c r="L7" s="106"/>
      <c r="M7" s="99" t="str">
        <f aca="false">IF(OR(K7="",L7=""),"",IF((IF(L7="Alto",3,IF(L7="Médio",2,1))-IF(K7="Alto",3,IF(K7="Médio",2,1)))=2,"⚡ Quick win",IF((IF(L7="Alto",3,IF(L7="Médio",2,1))-IF(K7="Alto",3,IF(K7="Médio",2,1)))=1,"🚀 Alto retorno",IF(AND(L7="Alto",K7="Alto"),"🎯 Estratégica",IF((IF(L7="Alto",3,IF(L7="Médio",2,1))-IF(K7="Alto",3,IF(K7="Médio",2,1)))=0,"⚖ Equilibrada","⏳ Baixo retorno")))))</f>
        <v/>
      </c>
      <c r="N7" s="105"/>
      <c r="O7" s="105"/>
      <c r="P7" s="106"/>
      <c r="Q7" s="105"/>
      <c r="R7" s="107"/>
      <c r="S7" s="105"/>
      <c r="T7" s="107"/>
      <c r="U7" s="105"/>
    </row>
    <row r="8" customFormat="false" ht="15" hidden="false" customHeight="false" outlineLevel="0" collapsed="false">
      <c r="A8" s="101" t="s">
        <v>1118</v>
      </c>
      <c r="B8" s="102"/>
      <c r="C8" s="102"/>
      <c r="D8" s="102"/>
      <c r="E8" s="102"/>
      <c r="F8" s="99" t="str">
        <f aca="false">IF(E8="","",IFERROR(INDEX('Fontes e Parcerias'!$C$5:$C$500,MATCH(IFERROR(LEFT(E8,FIND(" · ",E8)-1),E8),'Fontes e Parcerias'!$A$5:$A$500,0)),"Fonte não encontrada"))</f>
        <v/>
      </c>
      <c r="G8" s="103"/>
      <c r="H8" s="102"/>
      <c r="I8" s="102"/>
      <c r="J8" s="117"/>
      <c r="K8" s="103"/>
      <c r="L8" s="103"/>
      <c r="M8" s="99" t="str">
        <f aca="false">IF(OR(K8="",L8=""),"",IF((IF(L8="Alto",3,IF(L8="Médio",2,1))-IF(K8="Alto",3,IF(K8="Médio",2,1)))=2,"⚡ Quick win",IF((IF(L8="Alto",3,IF(L8="Médio",2,1))-IF(K8="Alto",3,IF(K8="Médio",2,1)))=1,"🚀 Alto retorno",IF(AND(L8="Alto",K8="Alto"),"🎯 Estratégica",IF((IF(L8="Alto",3,IF(L8="Médio",2,1))-IF(K8="Alto",3,IF(K8="Médio",2,1)))=0,"⚖ Equilibrada","⏳ Baixo retorno")))))</f>
        <v/>
      </c>
      <c r="N8" s="102"/>
      <c r="O8" s="102"/>
      <c r="P8" s="103"/>
      <c r="Q8" s="102"/>
      <c r="R8" s="104"/>
      <c r="S8" s="102"/>
      <c r="T8" s="104"/>
      <c r="U8" s="102"/>
    </row>
    <row r="9" customFormat="false" ht="15" hidden="false" customHeight="false" outlineLevel="0" collapsed="false">
      <c r="A9" s="93" t="s">
        <v>1119</v>
      </c>
      <c r="B9" s="105"/>
      <c r="C9" s="105"/>
      <c r="D9" s="105"/>
      <c r="E9" s="105"/>
      <c r="F9" s="99" t="str">
        <f aca="false">IF(E9="","",IFERROR(INDEX('Fontes e Parcerias'!$C$5:$C$500,MATCH(IFERROR(LEFT(E9,FIND(" · ",E9)-1),E9),'Fontes e Parcerias'!$A$5:$A$500,0)),"Fonte não encontrada"))</f>
        <v/>
      </c>
      <c r="G9" s="106"/>
      <c r="H9" s="105"/>
      <c r="I9" s="105"/>
      <c r="J9" s="118"/>
      <c r="K9" s="106"/>
      <c r="L9" s="106"/>
      <c r="M9" s="99" t="str">
        <f aca="false">IF(OR(K9="",L9=""),"",IF((IF(L9="Alto",3,IF(L9="Médio",2,1))-IF(K9="Alto",3,IF(K9="Médio",2,1)))=2,"⚡ Quick win",IF((IF(L9="Alto",3,IF(L9="Médio",2,1))-IF(K9="Alto",3,IF(K9="Médio",2,1)))=1,"🚀 Alto retorno",IF(AND(L9="Alto",K9="Alto"),"🎯 Estratégica",IF((IF(L9="Alto",3,IF(L9="Médio",2,1))-IF(K9="Alto",3,IF(K9="Médio",2,1)))=0,"⚖ Equilibrada","⏳ Baixo retorno")))))</f>
        <v/>
      </c>
      <c r="N9" s="105"/>
      <c r="O9" s="105"/>
      <c r="P9" s="106"/>
      <c r="Q9" s="105"/>
      <c r="R9" s="107"/>
      <c r="S9" s="105"/>
      <c r="T9" s="107"/>
      <c r="U9" s="105"/>
    </row>
    <row r="10" customFormat="false" ht="15" hidden="false" customHeight="false" outlineLevel="0" collapsed="false">
      <c r="A10" s="101" t="s">
        <v>1120</v>
      </c>
      <c r="B10" s="102"/>
      <c r="C10" s="102"/>
      <c r="D10" s="102"/>
      <c r="E10" s="102"/>
      <c r="F10" s="99" t="str">
        <f aca="false">IF(E10="","",IFERROR(INDEX('Fontes e Parcerias'!$C$5:$C$500,MATCH(IFERROR(LEFT(E10,FIND(" · ",E10)-1),E10),'Fontes e Parcerias'!$A$5:$A$500,0)),"Fonte não encontrada"))</f>
        <v/>
      </c>
      <c r="G10" s="103"/>
      <c r="H10" s="102"/>
      <c r="I10" s="102"/>
      <c r="J10" s="117"/>
      <c r="K10" s="103"/>
      <c r="L10" s="103"/>
      <c r="M10" s="99" t="str">
        <f aca="false">IF(OR(K10="",L10=""),"",IF((IF(L10="Alto",3,IF(L10="Médio",2,1))-IF(K10="Alto",3,IF(K10="Médio",2,1)))=2,"⚡ Quick win",IF((IF(L10="Alto",3,IF(L10="Médio",2,1))-IF(K10="Alto",3,IF(K10="Médio",2,1)))=1,"🚀 Alto retorno",IF(AND(L10="Alto",K10="Alto"),"🎯 Estratégica",IF((IF(L10="Alto",3,IF(L10="Médio",2,1))-IF(K10="Alto",3,IF(K10="Médio",2,1)))=0,"⚖ Equilibrada","⏳ Baixo retorno")))))</f>
        <v/>
      </c>
      <c r="N10" s="102"/>
      <c r="O10" s="102"/>
      <c r="P10" s="103"/>
      <c r="Q10" s="102"/>
      <c r="R10" s="104"/>
      <c r="S10" s="102"/>
      <c r="T10" s="104"/>
      <c r="U10" s="102"/>
    </row>
    <row r="11" customFormat="false" ht="15" hidden="false" customHeight="false" outlineLevel="0" collapsed="false">
      <c r="A11" s="93" t="s">
        <v>1121</v>
      </c>
      <c r="B11" s="105"/>
      <c r="C11" s="105"/>
      <c r="D11" s="105"/>
      <c r="E11" s="105"/>
      <c r="F11" s="99" t="str">
        <f aca="false">IF(E11="","",IFERROR(INDEX('Fontes e Parcerias'!$C$5:$C$500,MATCH(IFERROR(LEFT(E11,FIND(" · ",E11)-1),E11),'Fontes e Parcerias'!$A$5:$A$500,0)),"Fonte não encontrada"))</f>
        <v/>
      </c>
      <c r="G11" s="106"/>
      <c r="H11" s="105"/>
      <c r="I11" s="105"/>
      <c r="J11" s="118"/>
      <c r="K11" s="106"/>
      <c r="L11" s="106"/>
      <c r="M11" s="99" t="str">
        <f aca="false">IF(OR(K11="",L11=""),"",IF((IF(L11="Alto",3,IF(L11="Médio",2,1))-IF(K11="Alto",3,IF(K11="Médio",2,1)))=2,"⚡ Quick win",IF((IF(L11="Alto",3,IF(L11="Médio",2,1))-IF(K11="Alto",3,IF(K11="Médio",2,1)))=1,"🚀 Alto retorno",IF(AND(L11="Alto",K11="Alto"),"🎯 Estratégica",IF((IF(L11="Alto",3,IF(L11="Médio",2,1))-IF(K11="Alto",3,IF(K11="Médio",2,1)))=0,"⚖ Equilibrada","⏳ Baixo retorno")))))</f>
        <v/>
      </c>
      <c r="N11" s="105"/>
      <c r="O11" s="105"/>
      <c r="P11" s="106"/>
      <c r="Q11" s="105"/>
      <c r="R11" s="107"/>
      <c r="S11" s="105"/>
      <c r="T11" s="107"/>
      <c r="U11" s="105"/>
    </row>
    <row r="12" customFormat="false" ht="15" hidden="false" customHeight="false" outlineLevel="0" collapsed="false">
      <c r="A12" s="101" t="s">
        <v>1122</v>
      </c>
      <c r="B12" s="102"/>
      <c r="C12" s="102"/>
      <c r="D12" s="102"/>
      <c r="E12" s="102"/>
      <c r="F12" s="99" t="str">
        <f aca="false">IF(E12="","",IFERROR(INDEX('Fontes e Parcerias'!$C$5:$C$500,MATCH(IFERROR(LEFT(E12,FIND(" · ",E12)-1),E12),'Fontes e Parcerias'!$A$5:$A$500,0)),"Fonte não encontrada"))</f>
        <v/>
      </c>
      <c r="G12" s="103"/>
      <c r="H12" s="102"/>
      <c r="I12" s="102"/>
      <c r="J12" s="117"/>
      <c r="K12" s="103"/>
      <c r="L12" s="103"/>
      <c r="M12" s="99" t="str">
        <f aca="false">IF(OR(K12="",L12=""),"",IF((IF(L12="Alto",3,IF(L12="Médio",2,1))-IF(K12="Alto",3,IF(K12="Médio",2,1)))=2,"⚡ Quick win",IF((IF(L12="Alto",3,IF(L12="Médio",2,1))-IF(K12="Alto",3,IF(K12="Médio",2,1)))=1,"🚀 Alto retorno",IF(AND(L12="Alto",K12="Alto"),"🎯 Estratégica",IF((IF(L12="Alto",3,IF(L12="Médio",2,1))-IF(K12="Alto",3,IF(K12="Médio",2,1)))=0,"⚖ Equilibrada","⏳ Baixo retorno")))))</f>
        <v/>
      </c>
      <c r="N12" s="102"/>
      <c r="O12" s="102"/>
      <c r="P12" s="103"/>
      <c r="Q12" s="102"/>
      <c r="R12" s="104"/>
      <c r="S12" s="102"/>
      <c r="T12" s="104"/>
      <c r="U12" s="102"/>
    </row>
    <row r="13" customFormat="false" ht="15" hidden="false" customHeight="false" outlineLevel="0" collapsed="false">
      <c r="A13" s="93" t="s">
        <v>1123</v>
      </c>
      <c r="B13" s="105"/>
      <c r="C13" s="105"/>
      <c r="D13" s="105"/>
      <c r="E13" s="105"/>
      <c r="F13" s="99" t="str">
        <f aca="false">IF(E13="","",IFERROR(INDEX('Fontes e Parcerias'!$C$5:$C$500,MATCH(IFERROR(LEFT(E13,FIND(" · ",E13)-1),E13),'Fontes e Parcerias'!$A$5:$A$500,0)),"Fonte não encontrada"))</f>
        <v/>
      </c>
      <c r="G13" s="106"/>
      <c r="H13" s="105"/>
      <c r="I13" s="105"/>
      <c r="J13" s="118"/>
      <c r="K13" s="106"/>
      <c r="L13" s="106"/>
      <c r="M13" s="99" t="str">
        <f aca="false">IF(OR(K13="",L13=""),"",IF((IF(L13="Alto",3,IF(L13="Médio",2,1))-IF(K13="Alto",3,IF(K13="Médio",2,1)))=2,"⚡ Quick win",IF((IF(L13="Alto",3,IF(L13="Médio",2,1))-IF(K13="Alto",3,IF(K13="Médio",2,1)))=1,"🚀 Alto retorno",IF(AND(L13="Alto",K13="Alto"),"🎯 Estratégica",IF((IF(L13="Alto",3,IF(L13="Médio",2,1))-IF(K13="Alto",3,IF(K13="Médio",2,1)))=0,"⚖ Equilibrada","⏳ Baixo retorno")))))</f>
        <v/>
      </c>
      <c r="N13" s="105"/>
      <c r="O13" s="105"/>
      <c r="P13" s="106"/>
      <c r="Q13" s="105"/>
      <c r="R13" s="107"/>
      <c r="S13" s="105"/>
      <c r="T13" s="107"/>
      <c r="U13" s="105"/>
    </row>
    <row r="14" customFormat="false" ht="15" hidden="false" customHeight="false" outlineLevel="0" collapsed="false">
      <c r="A14" s="101" t="s">
        <v>1124</v>
      </c>
      <c r="B14" s="102"/>
      <c r="C14" s="102"/>
      <c r="D14" s="102"/>
      <c r="E14" s="102"/>
      <c r="F14" s="99" t="str">
        <f aca="false">IF(E14="","",IFERROR(INDEX('Fontes e Parcerias'!$C$5:$C$500,MATCH(IFERROR(LEFT(E14,FIND(" · ",E14)-1),E14),'Fontes e Parcerias'!$A$5:$A$500,0)),"Fonte não encontrada"))</f>
        <v/>
      </c>
      <c r="G14" s="103"/>
      <c r="H14" s="102"/>
      <c r="I14" s="102"/>
      <c r="J14" s="117"/>
      <c r="K14" s="103"/>
      <c r="L14" s="103"/>
      <c r="M14" s="99" t="str">
        <f aca="false">IF(OR(K14="",L14=""),"",IF((IF(L14="Alto",3,IF(L14="Médio",2,1))-IF(K14="Alto",3,IF(K14="Médio",2,1)))=2,"⚡ Quick win",IF((IF(L14="Alto",3,IF(L14="Médio",2,1))-IF(K14="Alto",3,IF(K14="Médio",2,1)))=1,"🚀 Alto retorno",IF(AND(L14="Alto",K14="Alto"),"🎯 Estratégica",IF((IF(L14="Alto",3,IF(L14="Médio",2,1))-IF(K14="Alto",3,IF(K14="Médio",2,1)))=0,"⚖ Equilibrada","⏳ Baixo retorno")))))</f>
        <v/>
      </c>
      <c r="N14" s="102"/>
      <c r="O14" s="102"/>
      <c r="P14" s="103"/>
      <c r="Q14" s="102"/>
      <c r="R14" s="104"/>
      <c r="S14" s="102"/>
      <c r="T14" s="104"/>
      <c r="U14" s="102"/>
    </row>
    <row r="15" customFormat="false" ht="15" hidden="false" customHeight="false" outlineLevel="0" collapsed="false">
      <c r="A15" s="93" t="s">
        <v>1125</v>
      </c>
      <c r="B15" s="105"/>
      <c r="C15" s="105"/>
      <c r="D15" s="105"/>
      <c r="E15" s="105"/>
      <c r="F15" s="99" t="str">
        <f aca="false">IF(E15="","",IFERROR(INDEX('Fontes e Parcerias'!$C$5:$C$500,MATCH(IFERROR(LEFT(E15,FIND(" · ",E15)-1),E15),'Fontes e Parcerias'!$A$5:$A$500,0)),"Fonte não encontrada"))</f>
        <v/>
      </c>
      <c r="G15" s="106"/>
      <c r="H15" s="105"/>
      <c r="I15" s="105"/>
      <c r="J15" s="118"/>
      <c r="K15" s="106"/>
      <c r="L15" s="106"/>
      <c r="M15" s="99" t="str">
        <f aca="false">IF(OR(K15="",L15=""),"",IF((IF(L15="Alto",3,IF(L15="Médio",2,1))-IF(K15="Alto",3,IF(K15="Médio",2,1)))=2,"⚡ Quick win",IF((IF(L15="Alto",3,IF(L15="Médio",2,1))-IF(K15="Alto",3,IF(K15="Médio",2,1)))=1,"🚀 Alto retorno",IF(AND(L15="Alto",K15="Alto"),"🎯 Estratégica",IF((IF(L15="Alto",3,IF(L15="Médio",2,1))-IF(K15="Alto",3,IF(K15="Médio",2,1)))=0,"⚖ Equilibrada","⏳ Baixo retorno")))))</f>
        <v/>
      </c>
      <c r="N15" s="105"/>
      <c r="O15" s="105"/>
      <c r="P15" s="106"/>
      <c r="Q15" s="105"/>
      <c r="R15" s="107"/>
      <c r="S15" s="105"/>
      <c r="T15" s="107"/>
      <c r="U15" s="105"/>
    </row>
    <row r="16" customFormat="false" ht="15" hidden="false" customHeight="false" outlineLevel="0" collapsed="false">
      <c r="A16" s="101" t="s">
        <v>1126</v>
      </c>
      <c r="B16" s="102"/>
      <c r="C16" s="102"/>
      <c r="D16" s="102"/>
      <c r="E16" s="102"/>
      <c r="F16" s="99" t="str">
        <f aca="false">IF(E16="","",IFERROR(INDEX('Fontes e Parcerias'!$C$5:$C$500,MATCH(IFERROR(LEFT(E16,FIND(" · ",E16)-1),E16),'Fontes e Parcerias'!$A$5:$A$500,0)),"Fonte não encontrada"))</f>
        <v/>
      </c>
      <c r="G16" s="103"/>
      <c r="H16" s="102"/>
      <c r="I16" s="102"/>
      <c r="J16" s="117"/>
      <c r="K16" s="103"/>
      <c r="L16" s="103"/>
      <c r="M16" s="99" t="str">
        <f aca="false">IF(OR(K16="",L16=""),"",IF((IF(L16="Alto",3,IF(L16="Médio",2,1))-IF(K16="Alto",3,IF(K16="Médio",2,1)))=2,"⚡ Quick win",IF((IF(L16="Alto",3,IF(L16="Médio",2,1))-IF(K16="Alto",3,IF(K16="Médio",2,1)))=1,"🚀 Alto retorno",IF(AND(L16="Alto",K16="Alto"),"🎯 Estratégica",IF((IF(L16="Alto",3,IF(L16="Médio",2,1))-IF(K16="Alto",3,IF(K16="Médio",2,1)))=0,"⚖ Equilibrada","⏳ Baixo retorno")))))</f>
        <v/>
      </c>
      <c r="N16" s="102"/>
      <c r="O16" s="102"/>
      <c r="P16" s="103"/>
      <c r="Q16" s="102"/>
      <c r="R16" s="104"/>
      <c r="S16" s="102"/>
      <c r="T16" s="104"/>
      <c r="U16" s="102"/>
    </row>
    <row r="17" customFormat="false" ht="15" hidden="false" customHeight="false" outlineLevel="0" collapsed="false">
      <c r="A17" s="93" t="s">
        <v>1127</v>
      </c>
      <c r="B17" s="105"/>
      <c r="C17" s="105"/>
      <c r="D17" s="105"/>
      <c r="E17" s="105"/>
      <c r="F17" s="99" t="str">
        <f aca="false">IF(E17="","",IFERROR(INDEX('Fontes e Parcerias'!$C$5:$C$500,MATCH(IFERROR(LEFT(E17,FIND(" · ",E17)-1),E17),'Fontes e Parcerias'!$A$5:$A$500,0)),"Fonte não encontrada"))</f>
        <v/>
      </c>
      <c r="G17" s="106"/>
      <c r="H17" s="105"/>
      <c r="I17" s="105"/>
      <c r="J17" s="118"/>
      <c r="K17" s="106"/>
      <c r="L17" s="106"/>
      <c r="M17" s="99" t="str">
        <f aca="false">IF(OR(K17="",L17=""),"",IF((IF(L17="Alto",3,IF(L17="Médio",2,1))-IF(K17="Alto",3,IF(K17="Médio",2,1)))=2,"⚡ Quick win",IF((IF(L17="Alto",3,IF(L17="Médio",2,1))-IF(K17="Alto",3,IF(K17="Médio",2,1)))=1,"🚀 Alto retorno",IF(AND(L17="Alto",K17="Alto"),"🎯 Estratégica",IF((IF(L17="Alto",3,IF(L17="Médio",2,1))-IF(K17="Alto",3,IF(K17="Médio",2,1)))=0,"⚖ Equilibrada","⏳ Baixo retorno")))))</f>
        <v/>
      </c>
      <c r="N17" s="105"/>
      <c r="O17" s="105"/>
      <c r="P17" s="106"/>
      <c r="Q17" s="105"/>
      <c r="R17" s="107"/>
      <c r="S17" s="105"/>
      <c r="T17" s="107"/>
      <c r="U17" s="105"/>
    </row>
    <row r="18" customFormat="false" ht="15" hidden="false" customHeight="false" outlineLevel="0" collapsed="false">
      <c r="A18" s="101" t="s">
        <v>1128</v>
      </c>
      <c r="B18" s="102"/>
      <c r="C18" s="102"/>
      <c r="D18" s="102"/>
      <c r="E18" s="102"/>
      <c r="F18" s="99" t="str">
        <f aca="false">IF(E18="","",IFERROR(INDEX('Fontes e Parcerias'!$C$5:$C$500,MATCH(IFERROR(LEFT(E18,FIND(" · ",E18)-1),E18),'Fontes e Parcerias'!$A$5:$A$500,0)),"Fonte não encontrada"))</f>
        <v/>
      </c>
      <c r="G18" s="103"/>
      <c r="H18" s="102"/>
      <c r="I18" s="102"/>
      <c r="J18" s="117"/>
      <c r="K18" s="103"/>
      <c r="L18" s="103"/>
      <c r="M18" s="99" t="str">
        <f aca="false">IF(OR(K18="",L18=""),"",IF((IF(L18="Alto",3,IF(L18="Médio",2,1))-IF(K18="Alto",3,IF(K18="Médio",2,1)))=2,"⚡ Quick win",IF((IF(L18="Alto",3,IF(L18="Médio",2,1))-IF(K18="Alto",3,IF(K18="Médio",2,1)))=1,"🚀 Alto retorno",IF(AND(L18="Alto",K18="Alto"),"🎯 Estratégica",IF((IF(L18="Alto",3,IF(L18="Médio",2,1))-IF(K18="Alto",3,IF(K18="Médio",2,1)))=0,"⚖ Equilibrada","⏳ Baixo retorno")))))</f>
        <v/>
      </c>
      <c r="N18" s="102"/>
      <c r="O18" s="102"/>
      <c r="P18" s="103"/>
      <c r="Q18" s="102"/>
      <c r="R18" s="104"/>
      <c r="S18" s="102"/>
      <c r="T18" s="104"/>
      <c r="U18" s="102"/>
    </row>
    <row r="19" customFormat="false" ht="15" hidden="false" customHeight="false" outlineLevel="0" collapsed="false">
      <c r="A19" s="93" t="s">
        <v>1129</v>
      </c>
      <c r="B19" s="105"/>
      <c r="C19" s="105"/>
      <c r="D19" s="105"/>
      <c r="E19" s="105"/>
      <c r="F19" s="99" t="str">
        <f aca="false">IF(E19="","",IFERROR(INDEX('Fontes e Parcerias'!$C$5:$C$500,MATCH(IFERROR(LEFT(E19,FIND(" · ",E19)-1),E19),'Fontes e Parcerias'!$A$5:$A$500,0)),"Fonte não encontrada"))</f>
        <v/>
      </c>
      <c r="G19" s="106"/>
      <c r="H19" s="105"/>
      <c r="I19" s="105"/>
      <c r="J19" s="118"/>
      <c r="K19" s="106"/>
      <c r="L19" s="106"/>
      <c r="M19" s="99" t="str">
        <f aca="false">IF(OR(K19="",L19=""),"",IF((IF(L19="Alto",3,IF(L19="Médio",2,1))-IF(K19="Alto",3,IF(K19="Médio",2,1)))=2,"⚡ Quick win",IF((IF(L19="Alto",3,IF(L19="Médio",2,1))-IF(K19="Alto",3,IF(K19="Médio",2,1)))=1,"🚀 Alto retorno",IF(AND(L19="Alto",K19="Alto"),"🎯 Estratégica",IF((IF(L19="Alto",3,IF(L19="Médio",2,1))-IF(K19="Alto",3,IF(K19="Médio",2,1)))=0,"⚖ Equilibrada","⏳ Baixo retorno")))))</f>
        <v/>
      </c>
      <c r="N19" s="105"/>
      <c r="O19" s="105"/>
      <c r="P19" s="106"/>
      <c r="Q19" s="105"/>
      <c r="R19" s="107"/>
      <c r="S19" s="105"/>
      <c r="T19" s="107"/>
      <c r="U19" s="105"/>
    </row>
    <row r="20" customFormat="false" ht="15" hidden="false" customHeight="false" outlineLevel="0" collapsed="false">
      <c r="A20" s="101" t="s">
        <v>1130</v>
      </c>
      <c r="B20" s="102"/>
      <c r="C20" s="102"/>
      <c r="D20" s="102"/>
      <c r="E20" s="102"/>
      <c r="F20" s="99" t="str">
        <f aca="false">IF(E20="","",IFERROR(INDEX('Fontes e Parcerias'!$C$5:$C$500,MATCH(IFERROR(LEFT(E20,FIND(" · ",E20)-1),E20),'Fontes e Parcerias'!$A$5:$A$500,0)),"Fonte não encontrada"))</f>
        <v/>
      </c>
      <c r="G20" s="103"/>
      <c r="H20" s="102"/>
      <c r="I20" s="102"/>
      <c r="J20" s="117"/>
      <c r="K20" s="103"/>
      <c r="L20" s="103"/>
      <c r="M20" s="99" t="str">
        <f aca="false">IF(OR(K20="",L20=""),"",IF((IF(L20="Alto",3,IF(L20="Médio",2,1))-IF(K20="Alto",3,IF(K20="Médio",2,1)))=2,"⚡ Quick win",IF((IF(L20="Alto",3,IF(L20="Médio",2,1))-IF(K20="Alto",3,IF(K20="Médio",2,1)))=1,"🚀 Alto retorno",IF(AND(L20="Alto",K20="Alto"),"🎯 Estratégica",IF((IF(L20="Alto",3,IF(L20="Médio",2,1))-IF(K20="Alto",3,IF(K20="Médio",2,1)))=0,"⚖ Equilibrada","⏳ Baixo retorno")))))</f>
        <v/>
      </c>
      <c r="N20" s="102"/>
      <c r="O20" s="102"/>
      <c r="P20" s="103"/>
      <c r="Q20" s="102"/>
      <c r="R20" s="104"/>
      <c r="S20" s="102"/>
      <c r="T20" s="104"/>
      <c r="U20" s="102"/>
    </row>
    <row r="21" customFormat="false" ht="15" hidden="false" customHeight="false" outlineLevel="0" collapsed="false">
      <c r="A21" s="93" t="s">
        <v>1131</v>
      </c>
      <c r="B21" s="105"/>
      <c r="C21" s="105"/>
      <c r="D21" s="105"/>
      <c r="E21" s="105"/>
      <c r="F21" s="99" t="str">
        <f aca="false">IF(E21="","",IFERROR(INDEX('Fontes e Parcerias'!$C$5:$C$500,MATCH(IFERROR(LEFT(E21,FIND(" · ",E21)-1),E21),'Fontes e Parcerias'!$A$5:$A$500,0)),"Fonte não encontrada"))</f>
        <v/>
      </c>
      <c r="G21" s="106"/>
      <c r="H21" s="105"/>
      <c r="I21" s="105"/>
      <c r="J21" s="118"/>
      <c r="K21" s="106"/>
      <c r="L21" s="106"/>
      <c r="M21" s="99" t="str">
        <f aca="false">IF(OR(K21="",L21=""),"",IF((IF(L21="Alto",3,IF(L21="Médio",2,1))-IF(K21="Alto",3,IF(K21="Médio",2,1)))=2,"⚡ Quick win",IF((IF(L21="Alto",3,IF(L21="Médio",2,1))-IF(K21="Alto",3,IF(K21="Médio",2,1)))=1,"🚀 Alto retorno",IF(AND(L21="Alto",K21="Alto"),"🎯 Estratégica",IF((IF(L21="Alto",3,IF(L21="Médio",2,1))-IF(K21="Alto",3,IF(K21="Médio",2,1)))=0,"⚖ Equilibrada","⏳ Baixo retorno")))))</f>
        <v/>
      </c>
      <c r="N21" s="105"/>
      <c r="O21" s="105"/>
      <c r="P21" s="106"/>
      <c r="Q21" s="105"/>
      <c r="R21" s="107"/>
      <c r="S21" s="105"/>
      <c r="T21" s="107"/>
      <c r="U21" s="105"/>
    </row>
    <row r="22" customFormat="false" ht="15" hidden="false" customHeight="false" outlineLevel="0" collapsed="false">
      <c r="A22" s="101" t="s">
        <v>1132</v>
      </c>
      <c r="B22" s="102"/>
      <c r="C22" s="102"/>
      <c r="D22" s="102"/>
      <c r="E22" s="102"/>
      <c r="F22" s="99" t="str">
        <f aca="false">IF(E22="","",IFERROR(INDEX('Fontes e Parcerias'!$C$5:$C$500,MATCH(IFERROR(LEFT(E22,FIND(" · ",E22)-1),E22),'Fontes e Parcerias'!$A$5:$A$500,0)),"Fonte não encontrada"))</f>
        <v/>
      </c>
      <c r="G22" s="103"/>
      <c r="H22" s="102"/>
      <c r="I22" s="102"/>
      <c r="J22" s="117"/>
      <c r="K22" s="103"/>
      <c r="L22" s="103"/>
      <c r="M22" s="99" t="str">
        <f aca="false">IF(OR(K22="",L22=""),"",IF((IF(L22="Alto",3,IF(L22="Médio",2,1))-IF(K22="Alto",3,IF(K22="Médio",2,1)))=2,"⚡ Quick win",IF((IF(L22="Alto",3,IF(L22="Médio",2,1))-IF(K22="Alto",3,IF(K22="Médio",2,1)))=1,"🚀 Alto retorno",IF(AND(L22="Alto",K22="Alto"),"🎯 Estratégica",IF((IF(L22="Alto",3,IF(L22="Médio",2,1))-IF(K22="Alto",3,IF(K22="Médio",2,1)))=0,"⚖ Equilibrada","⏳ Baixo retorno")))))</f>
        <v/>
      </c>
      <c r="N22" s="102"/>
      <c r="O22" s="102"/>
      <c r="P22" s="103"/>
      <c r="Q22" s="102"/>
      <c r="R22" s="104"/>
      <c r="S22" s="102"/>
      <c r="T22" s="104"/>
      <c r="U22" s="102"/>
    </row>
    <row r="23" customFormat="false" ht="15" hidden="false" customHeight="false" outlineLevel="0" collapsed="false">
      <c r="A23" s="93" t="s">
        <v>1133</v>
      </c>
      <c r="B23" s="105"/>
      <c r="C23" s="105"/>
      <c r="D23" s="105"/>
      <c r="E23" s="105"/>
      <c r="F23" s="99" t="str">
        <f aca="false">IF(E23="","",IFERROR(INDEX('Fontes e Parcerias'!$C$5:$C$500,MATCH(IFERROR(LEFT(E23,FIND(" · ",E23)-1),E23),'Fontes e Parcerias'!$A$5:$A$500,0)),"Fonte não encontrada"))</f>
        <v/>
      </c>
      <c r="G23" s="106"/>
      <c r="H23" s="105"/>
      <c r="I23" s="105"/>
      <c r="J23" s="118"/>
      <c r="K23" s="106"/>
      <c r="L23" s="106"/>
      <c r="M23" s="99" t="str">
        <f aca="false">IF(OR(K23="",L23=""),"",IF((IF(L23="Alto",3,IF(L23="Médio",2,1))-IF(K23="Alto",3,IF(K23="Médio",2,1)))=2,"⚡ Quick win",IF((IF(L23="Alto",3,IF(L23="Médio",2,1))-IF(K23="Alto",3,IF(K23="Médio",2,1)))=1,"🚀 Alto retorno",IF(AND(L23="Alto",K23="Alto"),"🎯 Estratégica",IF((IF(L23="Alto",3,IF(L23="Médio",2,1))-IF(K23="Alto",3,IF(K23="Médio",2,1)))=0,"⚖ Equilibrada","⏳ Baixo retorno")))))</f>
        <v/>
      </c>
      <c r="N23" s="105"/>
      <c r="O23" s="105"/>
      <c r="P23" s="106"/>
      <c r="Q23" s="105"/>
      <c r="R23" s="107"/>
      <c r="S23" s="105"/>
      <c r="T23" s="107"/>
      <c r="U23" s="105"/>
    </row>
    <row r="24" customFormat="false" ht="15" hidden="false" customHeight="false" outlineLevel="0" collapsed="false">
      <c r="A24" s="101" t="s">
        <v>1134</v>
      </c>
      <c r="B24" s="102"/>
      <c r="C24" s="102"/>
      <c r="D24" s="102"/>
      <c r="E24" s="102"/>
      <c r="F24" s="99" t="str">
        <f aca="false">IF(E24="","",IFERROR(INDEX('Fontes e Parcerias'!$C$5:$C$500,MATCH(IFERROR(LEFT(E24,FIND(" · ",E24)-1),E24),'Fontes e Parcerias'!$A$5:$A$500,0)),"Fonte não encontrada"))</f>
        <v/>
      </c>
      <c r="G24" s="103"/>
      <c r="H24" s="102"/>
      <c r="I24" s="102"/>
      <c r="J24" s="117"/>
      <c r="K24" s="103"/>
      <c r="L24" s="103"/>
      <c r="M24" s="99" t="str">
        <f aca="false">IF(OR(K24="",L24=""),"",IF((IF(L24="Alto",3,IF(L24="Médio",2,1))-IF(K24="Alto",3,IF(K24="Médio",2,1)))=2,"⚡ Quick win",IF((IF(L24="Alto",3,IF(L24="Médio",2,1))-IF(K24="Alto",3,IF(K24="Médio",2,1)))=1,"🚀 Alto retorno",IF(AND(L24="Alto",K24="Alto"),"🎯 Estratégica",IF((IF(L24="Alto",3,IF(L24="Médio",2,1))-IF(K24="Alto",3,IF(K24="Médio",2,1)))=0,"⚖ Equilibrada","⏳ Baixo retorno")))))</f>
        <v/>
      </c>
      <c r="N24" s="102"/>
      <c r="O24" s="102"/>
      <c r="P24" s="103"/>
      <c r="Q24" s="102"/>
      <c r="R24" s="104"/>
      <c r="S24" s="102"/>
      <c r="T24" s="104"/>
      <c r="U24" s="102"/>
    </row>
    <row r="25" customFormat="false" ht="15" hidden="false" customHeight="false" outlineLevel="0" collapsed="false">
      <c r="A25" s="93" t="s">
        <v>1135</v>
      </c>
      <c r="B25" s="105"/>
      <c r="C25" s="105"/>
      <c r="D25" s="105"/>
      <c r="E25" s="105"/>
      <c r="F25" s="99" t="str">
        <f aca="false">IF(E25="","",IFERROR(INDEX('Fontes e Parcerias'!$C$5:$C$500,MATCH(IFERROR(LEFT(E25,FIND(" · ",E25)-1),E25),'Fontes e Parcerias'!$A$5:$A$500,0)),"Fonte não encontrada"))</f>
        <v/>
      </c>
      <c r="G25" s="106"/>
      <c r="H25" s="105"/>
      <c r="I25" s="105"/>
      <c r="J25" s="118"/>
      <c r="K25" s="106"/>
      <c r="L25" s="106"/>
      <c r="M25" s="99" t="str">
        <f aca="false">IF(OR(K25="",L25=""),"",IF((IF(L25="Alto",3,IF(L25="Médio",2,1))-IF(K25="Alto",3,IF(K25="Médio",2,1)))=2,"⚡ Quick win",IF((IF(L25="Alto",3,IF(L25="Médio",2,1))-IF(K25="Alto",3,IF(K25="Médio",2,1)))=1,"🚀 Alto retorno",IF(AND(L25="Alto",K25="Alto"),"🎯 Estratégica",IF((IF(L25="Alto",3,IF(L25="Médio",2,1))-IF(K25="Alto",3,IF(K25="Médio",2,1)))=0,"⚖ Equilibrada","⏳ Baixo retorno")))))</f>
        <v/>
      </c>
      <c r="N25" s="105"/>
      <c r="O25" s="105"/>
      <c r="P25" s="106"/>
      <c r="Q25" s="105"/>
      <c r="R25" s="107"/>
      <c r="S25" s="105"/>
      <c r="T25" s="107"/>
      <c r="U25" s="105"/>
    </row>
    <row r="26" customFormat="false" ht="15" hidden="false" customHeight="false" outlineLevel="0" collapsed="false">
      <c r="A26" s="101" t="s">
        <v>1136</v>
      </c>
      <c r="B26" s="102"/>
      <c r="C26" s="102"/>
      <c r="D26" s="102"/>
      <c r="E26" s="102"/>
      <c r="F26" s="99" t="str">
        <f aca="false">IF(E26="","",IFERROR(INDEX('Fontes e Parcerias'!$C$5:$C$500,MATCH(IFERROR(LEFT(E26,FIND(" · ",E26)-1),E26),'Fontes e Parcerias'!$A$5:$A$500,0)),"Fonte não encontrada"))</f>
        <v/>
      </c>
      <c r="G26" s="103"/>
      <c r="H26" s="102"/>
      <c r="I26" s="102"/>
      <c r="J26" s="117"/>
      <c r="K26" s="103"/>
      <c r="L26" s="103"/>
      <c r="M26" s="99" t="str">
        <f aca="false">IF(OR(K26="",L26=""),"",IF((IF(L26="Alto",3,IF(L26="Médio",2,1))-IF(K26="Alto",3,IF(K26="Médio",2,1)))=2,"⚡ Quick win",IF((IF(L26="Alto",3,IF(L26="Médio",2,1))-IF(K26="Alto",3,IF(K26="Médio",2,1)))=1,"🚀 Alto retorno",IF(AND(L26="Alto",K26="Alto"),"🎯 Estratégica",IF((IF(L26="Alto",3,IF(L26="Médio",2,1))-IF(K26="Alto",3,IF(K26="Médio",2,1)))=0,"⚖ Equilibrada","⏳ Baixo retorno")))))</f>
        <v/>
      </c>
      <c r="N26" s="102"/>
      <c r="O26" s="102"/>
      <c r="P26" s="103"/>
      <c r="Q26" s="102"/>
      <c r="R26" s="104"/>
      <c r="S26" s="102"/>
      <c r="T26" s="104"/>
      <c r="U26" s="102"/>
    </row>
    <row r="27" customFormat="false" ht="15" hidden="false" customHeight="false" outlineLevel="0" collapsed="false">
      <c r="A27" s="93" t="s">
        <v>1137</v>
      </c>
      <c r="B27" s="105"/>
      <c r="C27" s="105"/>
      <c r="D27" s="105"/>
      <c r="E27" s="105"/>
      <c r="F27" s="99" t="str">
        <f aca="false">IF(E27="","",IFERROR(INDEX('Fontes e Parcerias'!$C$5:$C$500,MATCH(IFERROR(LEFT(E27,FIND(" · ",E27)-1),E27),'Fontes e Parcerias'!$A$5:$A$500,0)),"Fonte não encontrada"))</f>
        <v/>
      </c>
      <c r="G27" s="106"/>
      <c r="H27" s="105"/>
      <c r="I27" s="105"/>
      <c r="J27" s="118"/>
      <c r="K27" s="106"/>
      <c r="L27" s="106"/>
      <c r="M27" s="99" t="str">
        <f aca="false">IF(OR(K27="",L27=""),"",IF((IF(L27="Alto",3,IF(L27="Médio",2,1))-IF(K27="Alto",3,IF(K27="Médio",2,1)))=2,"⚡ Quick win",IF((IF(L27="Alto",3,IF(L27="Médio",2,1))-IF(K27="Alto",3,IF(K27="Médio",2,1)))=1,"🚀 Alto retorno",IF(AND(L27="Alto",K27="Alto"),"🎯 Estratégica",IF((IF(L27="Alto",3,IF(L27="Médio",2,1))-IF(K27="Alto",3,IF(K27="Médio",2,1)))=0,"⚖ Equilibrada","⏳ Baixo retorno")))))</f>
        <v/>
      </c>
      <c r="N27" s="105"/>
      <c r="O27" s="105"/>
      <c r="P27" s="106"/>
      <c r="Q27" s="105"/>
      <c r="R27" s="107"/>
      <c r="S27" s="105"/>
      <c r="T27" s="107"/>
      <c r="U27" s="105"/>
    </row>
    <row r="28" customFormat="false" ht="15" hidden="false" customHeight="false" outlineLevel="0" collapsed="false">
      <c r="A28" s="101" t="s">
        <v>1138</v>
      </c>
      <c r="B28" s="102"/>
      <c r="C28" s="102"/>
      <c r="D28" s="102"/>
      <c r="E28" s="102"/>
      <c r="F28" s="99" t="str">
        <f aca="false">IF(E28="","",IFERROR(INDEX('Fontes e Parcerias'!$C$5:$C$500,MATCH(IFERROR(LEFT(E28,FIND(" · ",E28)-1),E28),'Fontes e Parcerias'!$A$5:$A$500,0)),"Fonte não encontrada"))</f>
        <v/>
      </c>
      <c r="G28" s="103"/>
      <c r="H28" s="102"/>
      <c r="I28" s="102"/>
      <c r="J28" s="117"/>
      <c r="K28" s="103"/>
      <c r="L28" s="103"/>
      <c r="M28" s="99" t="str">
        <f aca="false">IF(OR(K28="",L28=""),"",IF((IF(L28="Alto",3,IF(L28="Médio",2,1))-IF(K28="Alto",3,IF(K28="Médio",2,1)))=2,"⚡ Quick win",IF((IF(L28="Alto",3,IF(L28="Médio",2,1))-IF(K28="Alto",3,IF(K28="Médio",2,1)))=1,"🚀 Alto retorno",IF(AND(L28="Alto",K28="Alto"),"🎯 Estratégica",IF((IF(L28="Alto",3,IF(L28="Médio",2,1))-IF(K28="Alto",3,IF(K28="Médio",2,1)))=0,"⚖ Equilibrada","⏳ Baixo retorno")))))</f>
        <v/>
      </c>
      <c r="N28" s="102"/>
      <c r="O28" s="102"/>
      <c r="P28" s="103"/>
      <c r="Q28" s="102"/>
      <c r="R28" s="104"/>
      <c r="S28" s="102"/>
      <c r="T28" s="104"/>
      <c r="U28" s="102"/>
    </row>
    <row r="29" customFormat="false" ht="15" hidden="false" customHeight="false" outlineLevel="0" collapsed="false">
      <c r="A29" s="93" t="s">
        <v>1139</v>
      </c>
      <c r="B29" s="105"/>
      <c r="C29" s="105"/>
      <c r="D29" s="105"/>
      <c r="E29" s="105"/>
      <c r="F29" s="99" t="str">
        <f aca="false">IF(E29="","",IFERROR(INDEX('Fontes e Parcerias'!$C$5:$C$500,MATCH(IFERROR(LEFT(E29,FIND(" · ",E29)-1),E29),'Fontes e Parcerias'!$A$5:$A$500,0)),"Fonte não encontrada"))</f>
        <v/>
      </c>
      <c r="G29" s="106"/>
      <c r="H29" s="105"/>
      <c r="I29" s="105"/>
      <c r="J29" s="118"/>
      <c r="K29" s="106"/>
      <c r="L29" s="106"/>
      <c r="M29" s="99" t="str">
        <f aca="false">IF(OR(K29="",L29=""),"",IF((IF(L29="Alto",3,IF(L29="Médio",2,1))-IF(K29="Alto",3,IF(K29="Médio",2,1)))=2,"⚡ Quick win",IF((IF(L29="Alto",3,IF(L29="Médio",2,1))-IF(K29="Alto",3,IF(K29="Médio",2,1)))=1,"🚀 Alto retorno",IF(AND(L29="Alto",K29="Alto"),"🎯 Estratégica",IF((IF(L29="Alto",3,IF(L29="Médio",2,1))-IF(K29="Alto",3,IF(K29="Médio",2,1)))=0,"⚖ Equilibrada","⏳ Baixo retorno")))))</f>
        <v/>
      </c>
      <c r="N29" s="105"/>
      <c r="O29" s="105"/>
      <c r="P29" s="106"/>
      <c r="Q29" s="105"/>
      <c r="R29" s="107"/>
      <c r="S29" s="105"/>
      <c r="T29" s="107"/>
      <c r="U29" s="105"/>
    </row>
    <row r="30" customFormat="false" ht="15" hidden="false" customHeight="false" outlineLevel="0" collapsed="false">
      <c r="A30" s="101" t="s">
        <v>1140</v>
      </c>
      <c r="B30" s="102"/>
      <c r="C30" s="102"/>
      <c r="D30" s="102"/>
      <c r="E30" s="102"/>
      <c r="F30" s="99" t="str">
        <f aca="false">IF(E30="","",IFERROR(INDEX('Fontes e Parcerias'!$C$5:$C$500,MATCH(IFERROR(LEFT(E30,FIND(" · ",E30)-1),E30),'Fontes e Parcerias'!$A$5:$A$500,0)),"Fonte não encontrada"))</f>
        <v/>
      </c>
      <c r="G30" s="103"/>
      <c r="H30" s="102"/>
      <c r="I30" s="102"/>
      <c r="J30" s="117"/>
      <c r="K30" s="103"/>
      <c r="L30" s="103"/>
      <c r="M30" s="99" t="str">
        <f aca="false">IF(OR(K30="",L30=""),"",IF((IF(L30="Alto",3,IF(L30="Médio",2,1))-IF(K30="Alto",3,IF(K30="Médio",2,1)))=2,"⚡ Quick win",IF((IF(L30="Alto",3,IF(L30="Médio",2,1))-IF(K30="Alto",3,IF(K30="Médio",2,1)))=1,"🚀 Alto retorno",IF(AND(L30="Alto",K30="Alto"),"🎯 Estratégica",IF((IF(L30="Alto",3,IF(L30="Médio",2,1))-IF(K30="Alto",3,IF(K30="Médio",2,1)))=0,"⚖ Equilibrada","⏳ Baixo retorno")))))</f>
        <v/>
      </c>
      <c r="N30" s="102"/>
      <c r="O30" s="102"/>
      <c r="P30" s="103"/>
      <c r="Q30" s="102"/>
      <c r="R30" s="104"/>
      <c r="S30" s="102"/>
      <c r="T30" s="104"/>
      <c r="U30" s="102"/>
    </row>
    <row r="31" customFormat="false" ht="15" hidden="false" customHeight="false" outlineLevel="0" collapsed="false">
      <c r="A31" s="93" t="s">
        <v>1141</v>
      </c>
      <c r="B31" s="105"/>
      <c r="C31" s="105"/>
      <c r="D31" s="105"/>
      <c r="E31" s="105"/>
      <c r="F31" s="99" t="str">
        <f aca="false">IF(E31="","",IFERROR(INDEX('Fontes e Parcerias'!$C$5:$C$500,MATCH(IFERROR(LEFT(E31,FIND(" · ",E31)-1),E31),'Fontes e Parcerias'!$A$5:$A$500,0)),"Fonte não encontrada"))</f>
        <v/>
      </c>
      <c r="G31" s="106"/>
      <c r="H31" s="105"/>
      <c r="I31" s="105"/>
      <c r="J31" s="118"/>
      <c r="K31" s="106"/>
      <c r="L31" s="106"/>
      <c r="M31" s="99" t="str">
        <f aca="false">IF(OR(K31="",L31=""),"",IF((IF(L31="Alto",3,IF(L31="Médio",2,1))-IF(K31="Alto",3,IF(K31="Médio",2,1)))=2,"⚡ Quick win",IF((IF(L31="Alto",3,IF(L31="Médio",2,1))-IF(K31="Alto",3,IF(K31="Médio",2,1)))=1,"🚀 Alto retorno",IF(AND(L31="Alto",K31="Alto"),"🎯 Estratégica",IF((IF(L31="Alto",3,IF(L31="Médio",2,1))-IF(K31="Alto",3,IF(K31="Médio",2,1)))=0,"⚖ Equilibrada","⏳ Baixo retorno")))))</f>
        <v/>
      </c>
      <c r="N31" s="105"/>
      <c r="O31" s="105"/>
      <c r="P31" s="106"/>
      <c r="Q31" s="105"/>
      <c r="R31" s="107"/>
      <c r="S31" s="105"/>
      <c r="T31" s="107"/>
      <c r="U31" s="105"/>
    </row>
    <row r="32" customFormat="false" ht="15" hidden="false" customHeight="false" outlineLevel="0" collapsed="false">
      <c r="A32" s="101" t="s">
        <v>1142</v>
      </c>
      <c r="B32" s="102"/>
      <c r="C32" s="102"/>
      <c r="D32" s="102"/>
      <c r="E32" s="102"/>
      <c r="F32" s="99" t="str">
        <f aca="false">IF(E32="","",IFERROR(INDEX('Fontes e Parcerias'!$C$5:$C$500,MATCH(IFERROR(LEFT(E32,FIND(" · ",E32)-1),E32),'Fontes e Parcerias'!$A$5:$A$500,0)),"Fonte não encontrada"))</f>
        <v/>
      </c>
      <c r="G32" s="103"/>
      <c r="H32" s="102"/>
      <c r="I32" s="102"/>
      <c r="J32" s="117"/>
      <c r="K32" s="103"/>
      <c r="L32" s="103"/>
      <c r="M32" s="99" t="str">
        <f aca="false">IF(OR(K32="",L32=""),"",IF((IF(L32="Alto",3,IF(L32="Médio",2,1))-IF(K32="Alto",3,IF(K32="Médio",2,1)))=2,"⚡ Quick win",IF((IF(L32="Alto",3,IF(L32="Médio",2,1))-IF(K32="Alto",3,IF(K32="Médio",2,1)))=1,"🚀 Alto retorno",IF(AND(L32="Alto",K32="Alto"),"🎯 Estratégica",IF((IF(L32="Alto",3,IF(L32="Médio",2,1))-IF(K32="Alto",3,IF(K32="Médio",2,1)))=0,"⚖ Equilibrada","⏳ Baixo retorno")))))</f>
        <v/>
      </c>
      <c r="N32" s="102"/>
      <c r="O32" s="102"/>
      <c r="P32" s="103"/>
      <c r="Q32" s="102"/>
      <c r="R32" s="104"/>
      <c r="S32" s="102"/>
      <c r="T32" s="104"/>
      <c r="U32" s="102"/>
    </row>
    <row r="33" customFormat="false" ht="15" hidden="false" customHeight="false" outlineLevel="0" collapsed="false">
      <c r="A33" s="93" t="s">
        <v>1143</v>
      </c>
      <c r="B33" s="105"/>
      <c r="C33" s="105"/>
      <c r="D33" s="105"/>
      <c r="E33" s="105"/>
      <c r="F33" s="99" t="str">
        <f aca="false">IF(E33="","",IFERROR(INDEX('Fontes e Parcerias'!$C$5:$C$500,MATCH(IFERROR(LEFT(E33,FIND(" · ",E33)-1),E33),'Fontes e Parcerias'!$A$5:$A$500,0)),"Fonte não encontrada"))</f>
        <v/>
      </c>
      <c r="G33" s="106"/>
      <c r="H33" s="105"/>
      <c r="I33" s="105"/>
      <c r="J33" s="118"/>
      <c r="K33" s="106"/>
      <c r="L33" s="106"/>
      <c r="M33" s="99" t="str">
        <f aca="false">IF(OR(K33="",L33=""),"",IF((IF(L33="Alto",3,IF(L33="Médio",2,1))-IF(K33="Alto",3,IF(K33="Médio",2,1)))=2,"⚡ Quick win",IF((IF(L33="Alto",3,IF(L33="Médio",2,1))-IF(K33="Alto",3,IF(K33="Médio",2,1)))=1,"🚀 Alto retorno",IF(AND(L33="Alto",K33="Alto"),"🎯 Estratégica",IF((IF(L33="Alto",3,IF(L33="Médio",2,1))-IF(K33="Alto",3,IF(K33="Médio",2,1)))=0,"⚖ Equilibrada","⏳ Baixo retorno")))))</f>
        <v/>
      </c>
      <c r="N33" s="105"/>
      <c r="O33" s="105"/>
      <c r="P33" s="106"/>
      <c r="Q33" s="105"/>
      <c r="R33" s="107"/>
      <c r="S33" s="105"/>
      <c r="T33" s="107"/>
      <c r="U33" s="105"/>
    </row>
    <row r="34" customFormat="false" ht="15" hidden="false" customHeight="false" outlineLevel="0" collapsed="false">
      <c r="A34" s="101" t="s">
        <v>1144</v>
      </c>
      <c r="B34" s="102"/>
      <c r="C34" s="102"/>
      <c r="D34" s="102"/>
      <c r="E34" s="102"/>
      <c r="F34" s="99" t="str">
        <f aca="false">IF(E34="","",IFERROR(INDEX('Fontes e Parcerias'!$C$5:$C$500,MATCH(IFERROR(LEFT(E34,FIND(" · ",E34)-1),E34),'Fontes e Parcerias'!$A$5:$A$500,0)),"Fonte não encontrada"))</f>
        <v/>
      </c>
      <c r="G34" s="103"/>
      <c r="H34" s="102"/>
      <c r="I34" s="102"/>
      <c r="J34" s="117"/>
      <c r="K34" s="103"/>
      <c r="L34" s="103"/>
      <c r="M34" s="99" t="str">
        <f aca="false">IF(OR(K34="",L34=""),"",IF((IF(L34="Alto",3,IF(L34="Médio",2,1))-IF(K34="Alto",3,IF(K34="Médio",2,1)))=2,"⚡ Quick win",IF((IF(L34="Alto",3,IF(L34="Médio",2,1))-IF(K34="Alto",3,IF(K34="Médio",2,1)))=1,"🚀 Alto retorno",IF(AND(L34="Alto",K34="Alto"),"🎯 Estratégica",IF((IF(L34="Alto",3,IF(L34="Médio",2,1))-IF(K34="Alto",3,IF(K34="Médio",2,1)))=0,"⚖ Equilibrada","⏳ Baixo retorno")))))</f>
        <v/>
      </c>
      <c r="N34" s="102"/>
      <c r="O34" s="102"/>
      <c r="P34" s="103"/>
      <c r="Q34" s="102"/>
      <c r="R34" s="104"/>
      <c r="S34" s="102"/>
      <c r="T34" s="104"/>
      <c r="U34" s="102"/>
    </row>
    <row r="35" customFormat="false" ht="15" hidden="false" customHeight="false" outlineLevel="0" collapsed="false">
      <c r="A35" s="93" t="s">
        <v>1145</v>
      </c>
      <c r="B35" s="105"/>
      <c r="C35" s="105"/>
      <c r="D35" s="105"/>
      <c r="E35" s="105"/>
      <c r="F35" s="99" t="str">
        <f aca="false">IF(E35="","",IFERROR(INDEX('Fontes e Parcerias'!$C$5:$C$500,MATCH(IFERROR(LEFT(E35,FIND(" · ",E35)-1),E35),'Fontes e Parcerias'!$A$5:$A$500,0)),"Fonte não encontrada"))</f>
        <v/>
      </c>
      <c r="G35" s="106"/>
      <c r="H35" s="105"/>
      <c r="I35" s="105"/>
      <c r="J35" s="118"/>
      <c r="K35" s="106"/>
      <c r="L35" s="106"/>
      <c r="M35" s="99" t="str">
        <f aca="false">IF(OR(K35="",L35=""),"",IF((IF(L35="Alto",3,IF(L35="Médio",2,1))-IF(K35="Alto",3,IF(K35="Médio",2,1)))=2,"⚡ Quick win",IF((IF(L35="Alto",3,IF(L35="Médio",2,1))-IF(K35="Alto",3,IF(K35="Médio",2,1)))=1,"🚀 Alto retorno",IF(AND(L35="Alto",K35="Alto"),"🎯 Estratégica",IF((IF(L35="Alto",3,IF(L35="Médio",2,1))-IF(K35="Alto",3,IF(K35="Médio",2,1)))=0,"⚖ Equilibrada","⏳ Baixo retorno")))))</f>
        <v/>
      </c>
      <c r="N35" s="105"/>
      <c r="O35" s="105"/>
      <c r="P35" s="106"/>
      <c r="Q35" s="105"/>
      <c r="R35" s="107"/>
      <c r="S35" s="105"/>
      <c r="T35" s="107"/>
      <c r="U35" s="105"/>
    </row>
    <row r="36" customFormat="false" ht="15" hidden="false" customHeight="false" outlineLevel="0" collapsed="false">
      <c r="A36" s="101" t="s">
        <v>1146</v>
      </c>
      <c r="B36" s="102"/>
      <c r="C36" s="102"/>
      <c r="D36" s="102"/>
      <c r="E36" s="102"/>
      <c r="F36" s="99" t="str">
        <f aca="false">IF(E36="","",IFERROR(INDEX('Fontes e Parcerias'!$C$5:$C$500,MATCH(IFERROR(LEFT(E36,FIND(" · ",E36)-1),E36),'Fontes e Parcerias'!$A$5:$A$500,0)),"Fonte não encontrada"))</f>
        <v/>
      </c>
      <c r="G36" s="103"/>
      <c r="H36" s="102"/>
      <c r="I36" s="102"/>
      <c r="J36" s="117"/>
      <c r="K36" s="103"/>
      <c r="L36" s="103"/>
      <c r="M36" s="99" t="str">
        <f aca="false">IF(OR(K36="",L36=""),"",IF((IF(L36="Alto",3,IF(L36="Médio",2,1))-IF(K36="Alto",3,IF(K36="Médio",2,1)))=2,"⚡ Quick win",IF((IF(L36="Alto",3,IF(L36="Médio",2,1))-IF(K36="Alto",3,IF(K36="Médio",2,1)))=1,"🚀 Alto retorno",IF(AND(L36="Alto",K36="Alto"),"🎯 Estratégica",IF((IF(L36="Alto",3,IF(L36="Médio",2,1))-IF(K36="Alto",3,IF(K36="Médio",2,1)))=0,"⚖ Equilibrada","⏳ Baixo retorno")))))</f>
        <v/>
      </c>
      <c r="N36" s="102"/>
      <c r="O36" s="102"/>
      <c r="P36" s="103"/>
      <c r="Q36" s="102"/>
      <c r="R36" s="104"/>
      <c r="S36" s="102"/>
      <c r="T36" s="104"/>
      <c r="U36" s="102"/>
    </row>
    <row r="37" customFormat="false" ht="15" hidden="false" customHeight="false" outlineLevel="0" collapsed="false">
      <c r="A37" s="93" t="s">
        <v>1147</v>
      </c>
      <c r="B37" s="105"/>
      <c r="C37" s="105"/>
      <c r="D37" s="105"/>
      <c r="E37" s="105"/>
      <c r="F37" s="99" t="str">
        <f aca="false">IF(E37="","",IFERROR(INDEX('Fontes e Parcerias'!$C$5:$C$500,MATCH(IFERROR(LEFT(E37,FIND(" · ",E37)-1),E37),'Fontes e Parcerias'!$A$5:$A$500,0)),"Fonte não encontrada"))</f>
        <v/>
      </c>
      <c r="G37" s="106"/>
      <c r="H37" s="105"/>
      <c r="I37" s="105"/>
      <c r="J37" s="118"/>
      <c r="K37" s="106"/>
      <c r="L37" s="106"/>
      <c r="M37" s="99" t="str">
        <f aca="false">IF(OR(K37="",L37=""),"",IF((IF(L37="Alto",3,IF(L37="Médio",2,1))-IF(K37="Alto",3,IF(K37="Médio",2,1)))=2,"⚡ Quick win",IF((IF(L37="Alto",3,IF(L37="Médio",2,1))-IF(K37="Alto",3,IF(K37="Médio",2,1)))=1,"🚀 Alto retorno",IF(AND(L37="Alto",K37="Alto"),"🎯 Estratégica",IF((IF(L37="Alto",3,IF(L37="Médio",2,1))-IF(K37="Alto",3,IF(K37="Médio",2,1)))=0,"⚖ Equilibrada","⏳ Baixo retorno")))))</f>
        <v/>
      </c>
      <c r="N37" s="105"/>
      <c r="O37" s="105"/>
      <c r="P37" s="106"/>
      <c r="Q37" s="105"/>
      <c r="R37" s="107"/>
      <c r="S37" s="105"/>
      <c r="T37" s="107"/>
      <c r="U37" s="105"/>
    </row>
    <row r="38" customFormat="false" ht="15" hidden="false" customHeight="false" outlineLevel="0" collapsed="false">
      <c r="A38" s="101" t="s">
        <v>1148</v>
      </c>
      <c r="B38" s="102"/>
      <c r="C38" s="102"/>
      <c r="D38" s="102"/>
      <c r="E38" s="102"/>
      <c r="F38" s="99" t="str">
        <f aca="false">IF(E38="","",IFERROR(INDEX('Fontes e Parcerias'!$C$5:$C$500,MATCH(IFERROR(LEFT(E38,FIND(" · ",E38)-1),E38),'Fontes e Parcerias'!$A$5:$A$500,0)),"Fonte não encontrada"))</f>
        <v/>
      </c>
      <c r="G38" s="103"/>
      <c r="H38" s="102"/>
      <c r="I38" s="102"/>
      <c r="J38" s="117"/>
      <c r="K38" s="103"/>
      <c r="L38" s="103"/>
      <c r="M38" s="99" t="str">
        <f aca="false">IF(OR(K38="",L38=""),"",IF((IF(L38="Alto",3,IF(L38="Médio",2,1))-IF(K38="Alto",3,IF(K38="Médio",2,1)))=2,"⚡ Quick win",IF((IF(L38="Alto",3,IF(L38="Médio",2,1))-IF(K38="Alto",3,IF(K38="Médio",2,1)))=1,"🚀 Alto retorno",IF(AND(L38="Alto",K38="Alto"),"🎯 Estratégica",IF((IF(L38="Alto",3,IF(L38="Médio",2,1))-IF(K38="Alto",3,IF(K38="Médio",2,1)))=0,"⚖ Equilibrada","⏳ Baixo retorno")))))</f>
        <v/>
      </c>
      <c r="N38" s="102"/>
      <c r="O38" s="102"/>
      <c r="P38" s="103"/>
      <c r="Q38" s="102"/>
      <c r="R38" s="104"/>
      <c r="S38" s="102"/>
      <c r="T38" s="104"/>
      <c r="U38" s="102"/>
    </row>
    <row r="39" customFormat="false" ht="15" hidden="false" customHeight="false" outlineLevel="0" collapsed="false">
      <c r="A39" s="93" t="s">
        <v>1149</v>
      </c>
      <c r="B39" s="105"/>
      <c r="C39" s="105"/>
      <c r="D39" s="105"/>
      <c r="E39" s="105"/>
      <c r="F39" s="99" t="str">
        <f aca="false">IF(E39="","",IFERROR(INDEX('Fontes e Parcerias'!$C$5:$C$500,MATCH(IFERROR(LEFT(E39,FIND(" · ",E39)-1),E39),'Fontes e Parcerias'!$A$5:$A$500,0)),"Fonte não encontrada"))</f>
        <v/>
      </c>
      <c r="G39" s="106"/>
      <c r="H39" s="105"/>
      <c r="I39" s="105"/>
      <c r="J39" s="118"/>
      <c r="K39" s="106"/>
      <c r="L39" s="106"/>
      <c r="M39" s="99" t="str">
        <f aca="false">IF(OR(K39="",L39=""),"",IF((IF(L39="Alto",3,IF(L39="Médio",2,1))-IF(K39="Alto",3,IF(K39="Médio",2,1)))=2,"⚡ Quick win",IF((IF(L39="Alto",3,IF(L39="Médio",2,1))-IF(K39="Alto",3,IF(K39="Médio",2,1)))=1,"🚀 Alto retorno",IF(AND(L39="Alto",K39="Alto"),"🎯 Estratégica",IF((IF(L39="Alto",3,IF(L39="Médio",2,1))-IF(K39="Alto",3,IF(K39="Médio",2,1)))=0,"⚖ Equilibrada","⏳ Baixo retorno")))))</f>
        <v/>
      </c>
      <c r="N39" s="105"/>
      <c r="O39" s="105"/>
      <c r="P39" s="106"/>
      <c r="Q39" s="105"/>
      <c r="R39" s="107"/>
      <c r="S39" s="105"/>
      <c r="T39" s="107"/>
      <c r="U39" s="105"/>
    </row>
    <row r="40" customFormat="false" ht="15" hidden="false" customHeight="false" outlineLevel="0" collapsed="false">
      <c r="A40" s="101" t="s">
        <v>1150</v>
      </c>
      <c r="B40" s="102"/>
      <c r="C40" s="102"/>
      <c r="D40" s="102"/>
      <c r="E40" s="102"/>
      <c r="F40" s="99" t="str">
        <f aca="false">IF(E40="","",IFERROR(INDEX('Fontes e Parcerias'!$C$5:$C$500,MATCH(IFERROR(LEFT(E40,FIND(" · ",E40)-1),E40),'Fontes e Parcerias'!$A$5:$A$500,0)),"Fonte não encontrada"))</f>
        <v/>
      </c>
      <c r="G40" s="103"/>
      <c r="H40" s="102"/>
      <c r="I40" s="102"/>
      <c r="J40" s="117"/>
      <c r="K40" s="103"/>
      <c r="L40" s="103"/>
      <c r="M40" s="99" t="str">
        <f aca="false">IF(OR(K40="",L40=""),"",IF((IF(L40="Alto",3,IF(L40="Médio",2,1))-IF(K40="Alto",3,IF(K40="Médio",2,1)))=2,"⚡ Quick win",IF((IF(L40="Alto",3,IF(L40="Médio",2,1))-IF(K40="Alto",3,IF(K40="Médio",2,1)))=1,"🚀 Alto retorno",IF(AND(L40="Alto",K40="Alto"),"🎯 Estratégica",IF((IF(L40="Alto",3,IF(L40="Médio",2,1))-IF(K40="Alto",3,IF(K40="Médio",2,1)))=0,"⚖ Equilibrada","⏳ Baixo retorno")))))</f>
        <v/>
      </c>
      <c r="N40" s="102"/>
      <c r="O40" s="102"/>
      <c r="P40" s="103"/>
      <c r="Q40" s="102"/>
      <c r="R40" s="104"/>
      <c r="S40" s="102"/>
      <c r="T40" s="104"/>
      <c r="U40" s="102"/>
    </row>
    <row r="41" customFormat="false" ht="15" hidden="false" customHeight="false" outlineLevel="0" collapsed="false">
      <c r="A41" s="93" t="s">
        <v>1151</v>
      </c>
      <c r="B41" s="105"/>
      <c r="C41" s="105"/>
      <c r="D41" s="105"/>
      <c r="E41" s="105"/>
      <c r="F41" s="99" t="str">
        <f aca="false">IF(E41="","",IFERROR(INDEX('Fontes e Parcerias'!$C$5:$C$500,MATCH(IFERROR(LEFT(E41,FIND(" · ",E41)-1),E41),'Fontes e Parcerias'!$A$5:$A$500,0)),"Fonte não encontrada"))</f>
        <v/>
      </c>
      <c r="G41" s="106"/>
      <c r="H41" s="105"/>
      <c r="I41" s="105"/>
      <c r="J41" s="118"/>
      <c r="K41" s="106"/>
      <c r="L41" s="106"/>
      <c r="M41" s="99" t="str">
        <f aca="false">IF(OR(K41="",L41=""),"",IF((IF(L41="Alto",3,IF(L41="Médio",2,1))-IF(K41="Alto",3,IF(K41="Médio",2,1)))=2,"⚡ Quick win",IF((IF(L41="Alto",3,IF(L41="Médio",2,1))-IF(K41="Alto",3,IF(K41="Médio",2,1)))=1,"🚀 Alto retorno",IF(AND(L41="Alto",K41="Alto"),"🎯 Estratégica",IF((IF(L41="Alto",3,IF(L41="Médio",2,1))-IF(K41="Alto",3,IF(K41="Médio",2,1)))=0,"⚖ Equilibrada","⏳ Baixo retorno")))))</f>
        <v/>
      </c>
      <c r="N41" s="105"/>
      <c r="O41" s="105"/>
      <c r="P41" s="106"/>
      <c r="Q41" s="105"/>
      <c r="R41" s="107"/>
      <c r="S41" s="105"/>
      <c r="T41" s="107"/>
      <c r="U41" s="105"/>
    </row>
    <row r="42" customFormat="false" ht="15" hidden="false" customHeight="false" outlineLevel="0" collapsed="false">
      <c r="A42" s="101" t="s">
        <v>1152</v>
      </c>
      <c r="B42" s="102"/>
      <c r="C42" s="102"/>
      <c r="D42" s="102"/>
      <c r="E42" s="102"/>
      <c r="F42" s="99" t="str">
        <f aca="false">IF(E42="","",IFERROR(INDEX('Fontes e Parcerias'!$C$5:$C$500,MATCH(IFERROR(LEFT(E42,FIND(" · ",E42)-1),E42),'Fontes e Parcerias'!$A$5:$A$500,0)),"Fonte não encontrada"))</f>
        <v/>
      </c>
      <c r="G42" s="103"/>
      <c r="H42" s="102"/>
      <c r="I42" s="102"/>
      <c r="J42" s="117"/>
      <c r="K42" s="103"/>
      <c r="L42" s="103"/>
      <c r="M42" s="99" t="str">
        <f aca="false">IF(OR(K42="",L42=""),"",IF((IF(L42="Alto",3,IF(L42="Médio",2,1))-IF(K42="Alto",3,IF(K42="Médio",2,1)))=2,"⚡ Quick win",IF((IF(L42="Alto",3,IF(L42="Médio",2,1))-IF(K42="Alto",3,IF(K42="Médio",2,1)))=1,"🚀 Alto retorno",IF(AND(L42="Alto",K42="Alto"),"🎯 Estratégica",IF((IF(L42="Alto",3,IF(L42="Médio",2,1))-IF(K42="Alto",3,IF(K42="Médio",2,1)))=0,"⚖ Equilibrada","⏳ Baixo retorno")))))</f>
        <v/>
      </c>
      <c r="N42" s="102"/>
      <c r="O42" s="102"/>
      <c r="P42" s="103"/>
      <c r="Q42" s="102"/>
      <c r="R42" s="104"/>
      <c r="S42" s="102"/>
      <c r="T42" s="104"/>
      <c r="U42" s="102"/>
    </row>
    <row r="43" customFormat="false" ht="15" hidden="false" customHeight="false" outlineLevel="0" collapsed="false">
      <c r="A43" s="93" t="s">
        <v>1153</v>
      </c>
      <c r="B43" s="105"/>
      <c r="C43" s="105"/>
      <c r="D43" s="105"/>
      <c r="E43" s="105"/>
      <c r="F43" s="99" t="str">
        <f aca="false">IF(E43="","",IFERROR(INDEX('Fontes e Parcerias'!$C$5:$C$500,MATCH(IFERROR(LEFT(E43,FIND(" · ",E43)-1),E43),'Fontes e Parcerias'!$A$5:$A$500,0)),"Fonte não encontrada"))</f>
        <v/>
      </c>
      <c r="G43" s="106"/>
      <c r="H43" s="105"/>
      <c r="I43" s="105"/>
      <c r="J43" s="118"/>
      <c r="K43" s="106"/>
      <c r="L43" s="106"/>
      <c r="M43" s="99" t="str">
        <f aca="false">IF(OR(K43="",L43=""),"",IF((IF(L43="Alto",3,IF(L43="Médio",2,1))-IF(K43="Alto",3,IF(K43="Médio",2,1)))=2,"⚡ Quick win",IF((IF(L43="Alto",3,IF(L43="Médio",2,1))-IF(K43="Alto",3,IF(K43="Médio",2,1)))=1,"🚀 Alto retorno",IF(AND(L43="Alto",K43="Alto"),"🎯 Estratégica",IF((IF(L43="Alto",3,IF(L43="Médio",2,1))-IF(K43="Alto",3,IF(K43="Médio",2,1)))=0,"⚖ Equilibrada","⏳ Baixo retorno")))))</f>
        <v/>
      </c>
      <c r="N43" s="105"/>
      <c r="O43" s="105"/>
      <c r="P43" s="106"/>
      <c r="Q43" s="105"/>
      <c r="R43" s="107"/>
      <c r="S43" s="105"/>
      <c r="T43" s="107"/>
      <c r="U43" s="105"/>
    </row>
    <row r="44" customFormat="false" ht="15" hidden="false" customHeight="false" outlineLevel="0" collapsed="false">
      <c r="A44" s="101" t="s">
        <v>1154</v>
      </c>
      <c r="B44" s="102"/>
      <c r="C44" s="102"/>
      <c r="D44" s="102"/>
      <c r="E44" s="102"/>
      <c r="F44" s="99" t="str">
        <f aca="false">IF(E44="","",IFERROR(INDEX('Fontes e Parcerias'!$C$5:$C$500,MATCH(IFERROR(LEFT(E44,FIND(" · ",E44)-1),E44),'Fontes e Parcerias'!$A$5:$A$500,0)),"Fonte não encontrada"))</f>
        <v/>
      </c>
      <c r="G44" s="103"/>
      <c r="H44" s="102"/>
      <c r="I44" s="102"/>
      <c r="J44" s="117"/>
      <c r="K44" s="103"/>
      <c r="L44" s="103"/>
      <c r="M44" s="99" t="str">
        <f aca="false">IF(OR(K44="",L44=""),"",IF((IF(L44="Alto",3,IF(L44="Médio",2,1))-IF(K44="Alto",3,IF(K44="Médio",2,1)))=2,"⚡ Quick win",IF((IF(L44="Alto",3,IF(L44="Médio",2,1))-IF(K44="Alto",3,IF(K44="Médio",2,1)))=1,"🚀 Alto retorno",IF(AND(L44="Alto",K44="Alto"),"🎯 Estratégica",IF((IF(L44="Alto",3,IF(L44="Médio",2,1))-IF(K44="Alto",3,IF(K44="Médio",2,1)))=0,"⚖ Equilibrada","⏳ Baixo retorno")))))</f>
        <v/>
      </c>
      <c r="N44" s="102"/>
      <c r="O44" s="102"/>
      <c r="P44" s="103"/>
      <c r="Q44" s="102"/>
      <c r="R44" s="104"/>
      <c r="S44" s="102"/>
      <c r="T44" s="104"/>
      <c r="U44" s="102"/>
    </row>
    <row r="45" customFormat="false" ht="15" hidden="false" customHeight="false" outlineLevel="0" collapsed="false">
      <c r="A45" s="93" t="s">
        <v>1155</v>
      </c>
      <c r="B45" s="105"/>
      <c r="C45" s="105"/>
      <c r="D45" s="105"/>
      <c r="E45" s="105"/>
      <c r="F45" s="99" t="str">
        <f aca="false">IF(E45="","",IFERROR(INDEX('Fontes e Parcerias'!$C$5:$C$500,MATCH(IFERROR(LEFT(E45,FIND(" · ",E45)-1),E45),'Fontes e Parcerias'!$A$5:$A$500,0)),"Fonte não encontrada"))</f>
        <v/>
      </c>
      <c r="G45" s="106"/>
      <c r="H45" s="105"/>
      <c r="I45" s="105"/>
      <c r="J45" s="118"/>
      <c r="K45" s="106"/>
      <c r="L45" s="106"/>
      <c r="M45" s="99" t="str">
        <f aca="false">IF(OR(K45="",L45=""),"",IF((IF(L45="Alto",3,IF(L45="Médio",2,1))-IF(K45="Alto",3,IF(K45="Médio",2,1)))=2,"⚡ Quick win",IF((IF(L45="Alto",3,IF(L45="Médio",2,1))-IF(K45="Alto",3,IF(K45="Médio",2,1)))=1,"🚀 Alto retorno",IF(AND(L45="Alto",K45="Alto"),"🎯 Estratégica",IF((IF(L45="Alto",3,IF(L45="Médio",2,1))-IF(K45="Alto",3,IF(K45="Médio",2,1)))=0,"⚖ Equilibrada","⏳ Baixo retorno")))))</f>
        <v/>
      </c>
      <c r="N45" s="105"/>
      <c r="O45" s="105"/>
      <c r="P45" s="106"/>
      <c r="Q45" s="105"/>
      <c r="R45" s="107"/>
      <c r="S45" s="105"/>
      <c r="T45" s="107"/>
      <c r="U45" s="105"/>
    </row>
    <row r="46" customFormat="false" ht="15" hidden="false" customHeight="false" outlineLevel="0" collapsed="false">
      <c r="A46" s="101" t="s">
        <v>1156</v>
      </c>
      <c r="B46" s="102"/>
      <c r="C46" s="102"/>
      <c r="D46" s="102"/>
      <c r="E46" s="102"/>
      <c r="F46" s="99" t="str">
        <f aca="false">IF(E46="","",IFERROR(INDEX('Fontes e Parcerias'!$C$5:$C$500,MATCH(IFERROR(LEFT(E46,FIND(" · ",E46)-1),E46),'Fontes e Parcerias'!$A$5:$A$500,0)),"Fonte não encontrada"))</f>
        <v/>
      </c>
      <c r="G46" s="103"/>
      <c r="H46" s="102"/>
      <c r="I46" s="102"/>
      <c r="J46" s="117"/>
      <c r="K46" s="103"/>
      <c r="L46" s="103"/>
      <c r="M46" s="99" t="str">
        <f aca="false">IF(OR(K46="",L46=""),"",IF((IF(L46="Alto",3,IF(L46="Médio",2,1))-IF(K46="Alto",3,IF(K46="Médio",2,1)))=2,"⚡ Quick win",IF((IF(L46="Alto",3,IF(L46="Médio",2,1))-IF(K46="Alto",3,IF(K46="Médio",2,1)))=1,"🚀 Alto retorno",IF(AND(L46="Alto",K46="Alto"),"🎯 Estratégica",IF((IF(L46="Alto",3,IF(L46="Médio",2,1))-IF(K46="Alto",3,IF(K46="Médio",2,1)))=0,"⚖ Equilibrada","⏳ Baixo retorno")))))</f>
        <v/>
      </c>
      <c r="N46" s="102"/>
      <c r="O46" s="102"/>
      <c r="P46" s="103"/>
      <c r="Q46" s="102"/>
      <c r="R46" s="104"/>
      <c r="S46" s="102"/>
      <c r="T46" s="104"/>
      <c r="U46" s="102"/>
    </row>
    <row r="47" customFormat="false" ht="15" hidden="false" customHeight="false" outlineLevel="0" collapsed="false">
      <c r="A47" s="93" t="s">
        <v>1157</v>
      </c>
      <c r="B47" s="105"/>
      <c r="C47" s="105"/>
      <c r="D47" s="105"/>
      <c r="E47" s="105"/>
      <c r="F47" s="99" t="str">
        <f aca="false">IF(E47="","",IFERROR(INDEX('Fontes e Parcerias'!$C$5:$C$500,MATCH(IFERROR(LEFT(E47,FIND(" · ",E47)-1),E47),'Fontes e Parcerias'!$A$5:$A$500,0)),"Fonte não encontrada"))</f>
        <v/>
      </c>
      <c r="G47" s="106"/>
      <c r="H47" s="105"/>
      <c r="I47" s="105"/>
      <c r="J47" s="118"/>
      <c r="K47" s="106"/>
      <c r="L47" s="106"/>
      <c r="M47" s="99" t="str">
        <f aca="false">IF(OR(K47="",L47=""),"",IF((IF(L47="Alto",3,IF(L47="Médio",2,1))-IF(K47="Alto",3,IF(K47="Médio",2,1)))=2,"⚡ Quick win",IF((IF(L47="Alto",3,IF(L47="Médio",2,1))-IF(K47="Alto",3,IF(K47="Médio",2,1)))=1,"🚀 Alto retorno",IF(AND(L47="Alto",K47="Alto"),"🎯 Estratégica",IF((IF(L47="Alto",3,IF(L47="Médio",2,1))-IF(K47="Alto",3,IF(K47="Médio",2,1)))=0,"⚖ Equilibrada","⏳ Baixo retorno")))))</f>
        <v/>
      </c>
      <c r="N47" s="105"/>
      <c r="O47" s="105"/>
      <c r="P47" s="106"/>
      <c r="Q47" s="105"/>
      <c r="R47" s="107"/>
      <c r="S47" s="105"/>
      <c r="T47" s="107"/>
      <c r="U47" s="105"/>
    </row>
    <row r="48" customFormat="false" ht="15" hidden="false" customHeight="false" outlineLevel="0" collapsed="false">
      <c r="A48" s="101" t="s">
        <v>1158</v>
      </c>
      <c r="B48" s="102"/>
      <c r="C48" s="102"/>
      <c r="D48" s="102"/>
      <c r="E48" s="102"/>
      <c r="F48" s="99" t="str">
        <f aca="false">IF(E48="","",IFERROR(INDEX('Fontes e Parcerias'!$C$5:$C$500,MATCH(IFERROR(LEFT(E48,FIND(" · ",E48)-1),E48),'Fontes e Parcerias'!$A$5:$A$500,0)),"Fonte não encontrada"))</f>
        <v/>
      </c>
      <c r="G48" s="103"/>
      <c r="H48" s="102"/>
      <c r="I48" s="102"/>
      <c r="J48" s="117"/>
      <c r="K48" s="103"/>
      <c r="L48" s="103"/>
      <c r="M48" s="99" t="str">
        <f aca="false">IF(OR(K48="",L48=""),"",IF((IF(L48="Alto",3,IF(L48="Médio",2,1))-IF(K48="Alto",3,IF(K48="Médio",2,1)))=2,"⚡ Quick win",IF((IF(L48="Alto",3,IF(L48="Médio",2,1))-IF(K48="Alto",3,IF(K48="Médio",2,1)))=1,"🚀 Alto retorno",IF(AND(L48="Alto",K48="Alto"),"🎯 Estratégica",IF((IF(L48="Alto",3,IF(L48="Médio",2,1))-IF(K48="Alto",3,IF(K48="Médio",2,1)))=0,"⚖ Equilibrada","⏳ Baixo retorno")))))</f>
        <v/>
      </c>
      <c r="N48" s="102"/>
      <c r="O48" s="102"/>
      <c r="P48" s="103"/>
      <c r="Q48" s="102"/>
      <c r="R48" s="104"/>
      <c r="S48" s="102"/>
      <c r="T48" s="104"/>
      <c r="U48" s="102"/>
    </row>
    <row r="49" customFormat="false" ht="15" hidden="false" customHeight="false" outlineLevel="0" collapsed="false">
      <c r="A49" s="93" t="s">
        <v>1159</v>
      </c>
      <c r="B49" s="105"/>
      <c r="C49" s="105"/>
      <c r="D49" s="105"/>
      <c r="E49" s="105"/>
      <c r="F49" s="99" t="str">
        <f aca="false">IF(E49="","",IFERROR(INDEX('Fontes e Parcerias'!$C$5:$C$500,MATCH(IFERROR(LEFT(E49,FIND(" · ",E49)-1),E49),'Fontes e Parcerias'!$A$5:$A$500,0)),"Fonte não encontrada"))</f>
        <v/>
      </c>
      <c r="G49" s="106"/>
      <c r="H49" s="105"/>
      <c r="I49" s="105"/>
      <c r="J49" s="118"/>
      <c r="K49" s="106"/>
      <c r="L49" s="106"/>
      <c r="M49" s="99" t="str">
        <f aca="false">IF(OR(K49="",L49=""),"",IF((IF(L49="Alto",3,IF(L49="Médio",2,1))-IF(K49="Alto",3,IF(K49="Médio",2,1)))=2,"⚡ Quick win",IF((IF(L49="Alto",3,IF(L49="Médio",2,1))-IF(K49="Alto",3,IF(K49="Médio",2,1)))=1,"🚀 Alto retorno",IF(AND(L49="Alto",K49="Alto"),"🎯 Estratégica",IF((IF(L49="Alto",3,IF(L49="Médio",2,1))-IF(K49="Alto",3,IF(K49="Médio",2,1)))=0,"⚖ Equilibrada","⏳ Baixo retorno")))))</f>
        <v/>
      </c>
      <c r="N49" s="105"/>
      <c r="O49" s="105"/>
      <c r="P49" s="106"/>
      <c r="Q49" s="105"/>
      <c r="R49" s="107"/>
      <c r="S49" s="105"/>
      <c r="T49" s="107"/>
      <c r="U49" s="105"/>
    </row>
    <row r="50" customFormat="false" ht="15" hidden="false" customHeight="false" outlineLevel="0" collapsed="false">
      <c r="A50" s="101" t="s">
        <v>1160</v>
      </c>
      <c r="B50" s="102"/>
      <c r="C50" s="102"/>
      <c r="D50" s="102"/>
      <c r="E50" s="102"/>
      <c r="F50" s="99" t="str">
        <f aca="false">IF(E50="","",IFERROR(INDEX('Fontes e Parcerias'!$C$5:$C$500,MATCH(IFERROR(LEFT(E50,FIND(" · ",E50)-1),E50),'Fontes e Parcerias'!$A$5:$A$500,0)),"Fonte não encontrada"))</f>
        <v/>
      </c>
      <c r="G50" s="103"/>
      <c r="H50" s="102"/>
      <c r="I50" s="102"/>
      <c r="J50" s="117"/>
      <c r="K50" s="103"/>
      <c r="L50" s="103"/>
      <c r="M50" s="99" t="str">
        <f aca="false">IF(OR(K50="",L50=""),"",IF((IF(L50="Alto",3,IF(L50="Médio",2,1))-IF(K50="Alto",3,IF(K50="Médio",2,1)))=2,"⚡ Quick win",IF((IF(L50="Alto",3,IF(L50="Médio",2,1))-IF(K50="Alto",3,IF(K50="Médio",2,1)))=1,"🚀 Alto retorno",IF(AND(L50="Alto",K50="Alto"),"🎯 Estratégica",IF((IF(L50="Alto",3,IF(L50="Médio",2,1))-IF(K50="Alto",3,IF(K50="Médio",2,1)))=0,"⚖ Equilibrada","⏳ Baixo retorno")))))</f>
        <v/>
      </c>
      <c r="N50" s="102"/>
      <c r="O50" s="102"/>
      <c r="P50" s="103"/>
      <c r="Q50" s="102"/>
      <c r="R50" s="104"/>
      <c r="S50" s="102"/>
      <c r="T50" s="104"/>
      <c r="U50" s="102"/>
    </row>
    <row r="51" customFormat="false" ht="15" hidden="false" customHeight="false" outlineLevel="0" collapsed="false">
      <c r="A51" s="93" t="s">
        <v>1161</v>
      </c>
      <c r="B51" s="105"/>
      <c r="C51" s="105"/>
      <c r="D51" s="105"/>
      <c r="E51" s="105"/>
      <c r="F51" s="99" t="str">
        <f aca="false">IF(E51="","",IFERROR(INDEX('Fontes e Parcerias'!$C$5:$C$500,MATCH(IFERROR(LEFT(E51,FIND(" · ",E51)-1),E51),'Fontes e Parcerias'!$A$5:$A$500,0)),"Fonte não encontrada"))</f>
        <v/>
      </c>
      <c r="G51" s="106"/>
      <c r="H51" s="105"/>
      <c r="I51" s="105"/>
      <c r="J51" s="118"/>
      <c r="K51" s="106"/>
      <c r="L51" s="106"/>
      <c r="M51" s="99" t="str">
        <f aca="false">IF(OR(K51="",L51=""),"",IF((IF(L51="Alto",3,IF(L51="Médio",2,1))-IF(K51="Alto",3,IF(K51="Médio",2,1)))=2,"⚡ Quick win",IF((IF(L51="Alto",3,IF(L51="Médio",2,1))-IF(K51="Alto",3,IF(K51="Médio",2,1)))=1,"🚀 Alto retorno",IF(AND(L51="Alto",K51="Alto"),"🎯 Estratégica",IF((IF(L51="Alto",3,IF(L51="Médio",2,1))-IF(K51="Alto",3,IF(K51="Médio",2,1)))=0,"⚖ Equilibrada","⏳ Baixo retorno")))))</f>
        <v/>
      </c>
      <c r="N51" s="105"/>
      <c r="O51" s="105"/>
      <c r="P51" s="106"/>
      <c r="Q51" s="105"/>
      <c r="R51" s="107"/>
      <c r="S51" s="105"/>
      <c r="T51" s="107"/>
      <c r="U51" s="105"/>
    </row>
    <row r="52" customFormat="false" ht="15" hidden="false" customHeight="false" outlineLevel="0" collapsed="false">
      <c r="A52" s="101" t="s">
        <v>1162</v>
      </c>
      <c r="B52" s="102"/>
      <c r="C52" s="102"/>
      <c r="D52" s="102"/>
      <c r="E52" s="102"/>
      <c r="F52" s="99" t="str">
        <f aca="false">IF(E52="","",IFERROR(INDEX('Fontes e Parcerias'!$C$5:$C$500,MATCH(IFERROR(LEFT(E52,FIND(" · ",E52)-1),E52),'Fontes e Parcerias'!$A$5:$A$500,0)),"Fonte não encontrada"))</f>
        <v/>
      </c>
      <c r="G52" s="103"/>
      <c r="H52" s="102"/>
      <c r="I52" s="102"/>
      <c r="J52" s="117"/>
      <c r="K52" s="103"/>
      <c r="L52" s="103"/>
      <c r="M52" s="99" t="str">
        <f aca="false">IF(OR(K52="",L52=""),"",IF((IF(L52="Alto",3,IF(L52="Médio",2,1))-IF(K52="Alto",3,IF(K52="Médio",2,1)))=2,"⚡ Quick win",IF((IF(L52="Alto",3,IF(L52="Médio",2,1))-IF(K52="Alto",3,IF(K52="Médio",2,1)))=1,"🚀 Alto retorno",IF(AND(L52="Alto",K52="Alto"),"🎯 Estratégica",IF((IF(L52="Alto",3,IF(L52="Médio",2,1))-IF(K52="Alto",3,IF(K52="Médio",2,1)))=0,"⚖ Equilibrada","⏳ Baixo retorno")))))</f>
        <v/>
      </c>
      <c r="N52" s="102"/>
      <c r="O52" s="102"/>
      <c r="P52" s="103"/>
      <c r="Q52" s="102"/>
      <c r="R52" s="104"/>
      <c r="S52" s="102"/>
      <c r="T52" s="104"/>
      <c r="U52" s="102"/>
    </row>
    <row r="53" customFormat="false" ht="15" hidden="false" customHeight="false" outlineLevel="0" collapsed="false">
      <c r="A53" s="93" t="s">
        <v>1163</v>
      </c>
      <c r="B53" s="105"/>
      <c r="C53" s="105"/>
      <c r="D53" s="105"/>
      <c r="E53" s="105"/>
      <c r="F53" s="99" t="str">
        <f aca="false">IF(E53="","",IFERROR(INDEX('Fontes e Parcerias'!$C$5:$C$500,MATCH(IFERROR(LEFT(E53,FIND(" · ",E53)-1),E53),'Fontes e Parcerias'!$A$5:$A$500,0)),"Fonte não encontrada"))</f>
        <v/>
      </c>
      <c r="G53" s="106"/>
      <c r="H53" s="105"/>
      <c r="I53" s="105"/>
      <c r="J53" s="118"/>
      <c r="K53" s="106"/>
      <c r="L53" s="106"/>
      <c r="M53" s="99" t="str">
        <f aca="false">IF(OR(K53="",L53=""),"",IF((IF(L53="Alto",3,IF(L53="Médio",2,1))-IF(K53="Alto",3,IF(K53="Médio",2,1)))=2,"⚡ Quick win",IF((IF(L53="Alto",3,IF(L53="Médio",2,1))-IF(K53="Alto",3,IF(K53="Médio",2,1)))=1,"🚀 Alto retorno",IF(AND(L53="Alto",K53="Alto"),"🎯 Estratégica",IF((IF(L53="Alto",3,IF(L53="Médio",2,1))-IF(K53="Alto",3,IF(K53="Médio",2,1)))=0,"⚖ Equilibrada","⏳ Baixo retorno")))))</f>
        <v/>
      </c>
      <c r="N53" s="105"/>
      <c r="O53" s="105"/>
      <c r="P53" s="106"/>
      <c r="Q53" s="105"/>
      <c r="R53" s="107"/>
      <c r="S53" s="105"/>
      <c r="T53" s="107"/>
      <c r="U53" s="105"/>
    </row>
    <row r="54" customFormat="false" ht="15" hidden="false" customHeight="false" outlineLevel="0" collapsed="false">
      <c r="A54" s="101" t="s">
        <v>1164</v>
      </c>
      <c r="B54" s="102"/>
      <c r="C54" s="102"/>
      <c r="D54" s="102"/>
      <c r="E54" s="102"/>
      <c r="F54" s="99" t="str">
        <f aca="false">IF(E54="","",IFERROR(INDEX('Fontes e Parcerias'!$C$5:$C$500,MATCH(IFERROR(LEFT(E54,FIND(" · ",E54)-1),E54),'Fontes e Parcerias'!$A$5:$A$500,0)),"Fonte não encontrada"))</f>
        <v/>
      </c>
      <c r="G54" s="103"/>
      <c r="H54" s="102"/>
      <c r="I54" s="102"/>
      <c r="J54" s="117"/>
      <c r="K54" s="103"/>
      <c r="L54" s="103"/>
      <c r="M54" s="99" t="str">
        <f aca="false">IF(OR(K54="",L54=""),"",IF((IF(L54="Alto",3,IF(L54="Médio",2,1))-IF(K54="Alto",3,IF(K54="Médio",2,1)))=2,"⚡ Quick win",IF((IF(L54="Alto",3,IF(L54="Médio",2,1))-IF(K54="Alto",3,IF(K54="Médio",2,1)))=1,"🚀 Alto retorno",IF(AND(L54="Alto",K54="Alto"),"🎯 Estratégica",IF((IF(L54="Alto",3,IF(L54="Médio",2,1))-IF(K54="Alto",3,IF(K54="Médio",2,1)))=0,"⚖ Equilibrada","⏳ Baixo retorno")))))</f>
        <v/>
      </c>
      <c r="N54" s="102"/>
      <c r="O54" s="102"/>
      <c r="P54" s="103"/>
      <c r="Q54" s="102"/>
      <c r="R54" s="104"/>
      <c r="S54" s="102"/>
      <c r="T54" s="104"/>
      <c r="U54" s="102"/>
    </row>
    <row r="55" customFormat="false" ht="15" hidden="false" customHeight="false" outlineLevel="0" collapsed="false">
      <c r="A55" s="93" t="s">
        <v>1165</v>
      </c>
      <c r="B55" s="105"/>
      <c r="C55" s="105"/>
      <c r="D55" s="105"/>
      <c r="E55" s="105"/>
      <c r="F55" s="99" t="str">
        <f aca="false">IF(E55="","",IFERROR(INDEX('Fontes e Parcerias'!$C$5:$C$500,MATCH(IFERROR(LEFT(E55,FIND(" · ",E55)-1),E55),'Fontes e Parcerias'!$A$5:$A$500,0)),"Fonte não encontrada"))</f>
        <v/>
      </c>
      <c r="G55" s="106"/>
      <c r="H55" s="105"/>
      <c r="I55" s="105"/>
      <c r="J55" s="118"/>
      <c r="K55" s="106"/>
      <c r="L55" s="106"/>
      <c r="M55" s="99" t="str">
        <f aca="false">IF(OR(K55="",L55=""),"",IF((IF(L55="Alto",3,IF(L55="Médio",2,1))-IF(K55="Alto",3,IF(K55="Médio",2,1)))=2,"⚡ Quick win",IF((IF(L55="Alto",3,IF(L55="Médio",2,1))-IF(K55="Alto",3,IF(K55="Médio",2,1)))=1,"🚀 Alto retorno",IF(AND(L55="Alto",K55="Alto"),"🎯 Estratégica",IF((IF(L55="Alto",3,IF(L55="Médio",2,1))-IF(K55="Alto",3,IF(K55="Médio",2,1)))=0,"⚖ Equilibrada","⏳ Baixo retorno")))))</f>
        <v/>
      </c>
      <c r="N55" s="105"/>
      <c r="O55" s="105"/>
      <c r="P55" s="106"/>
      <c r="Q55" s="105"/>
      <c r="R55" s="107"/>
      <c r="S55" s="105"/>
      <c r="T55" s="107"/>
      <c r="U55" s="105"/>
    </row>
    <row r="56" customFormat="false" ht="15" hidden="false" customHeight="false" outlineLevel="0" collapsed="false">
      <c r="A56" s="101" t="s">
        <v>1166</v>
      </c>
      <c r="B56" s="102"/>
      <c r="C56" s="102"/>
      <c r="D56" s="102"/>
      <c r="E56" s="102"/>
      <c r="F56" s="99" t="str">
        <f aca="false">IF(E56="","",IFERROR(INDEX('Fontes e Parcerias'!$C$5:$C$500,MATCH(IFERROR(LEFT(E56,FIND(" · ",E56)-1),E56),'Fontes e Parcerias'!$A$5:$A$500,0)),"Fonte não encontrada"))</f>
        <v/>
      </c>
      <c r="G56" s="103"/>
      <c r="H56" s="102"/>
      <c r="I56" s="102"/>
      <c r="J56" s="117"/>
      <c r="K56" s="103"/>
      <c r="L56" s="103"/>
      <c r="M56" s="99" t="str">
        <f aca="false">IF(OR(K56="",L56=""),"",IF((IF(L56="Alto",3,IF(L56="Médio",2,1))-IF(K56="Alto",3,IF(K56="Médio",2,1)))=2,"⚡ Quick win",IF((IF(L56="Alto",3,IF(L56="Médio",2,1))-IF(K56="Alto",3,IF(K56="Médio",2,1)))=1,"🚀 Alto retorno",IF(AND(L56="Alto",K56="Alto"),"🎯 Estratégica",IF((IF(L56="Alto",3,IF(L56="Médio",2,1))-IF(K56="Alto",3,IF(K56="Médio",2,1)))=0,"⚖ Equilibrada","⏳ Baixo retorno")))))</f>
        <v/>
      </c>
      <c r="N56" s="102"/>
      <c r="O56" s="102"/>
      <c r="P56" s="103"/>
      <c r="Q56" s="102"/>
      <c r="R56" s="104"/>
      <c r="S56" s="102"/>
      <c r="T56" s="104"/>
      <c r="U56" s="102"/>
    </row>
    <row r="57" customFormat="false" ht="15" hidden="false" customHeight="false" outlineLevel="0" collapsed="false">
      <c r="A57" s="93" t="s">
        <v>1167</v>
      </c>
      <c r="B57" s="105"/>
      <c r="C57" s="105"/>
      <c r="D57" s="105"/>
      <c r="E57" s="105"/>
      <c r="F57" s="99" t="str">
        <f aca="false">IF(E57="","",IFERROR(INDEX('Fontes e Parcerias'!$C$5:$C$500,MATCH(IFERROR(LEFT(E57,FIND(" · ",E57)-1),E57),'Fontes e Parcerias'!$A$5:$A$500,0)),"Fonte não encontrada"))</f>
        <v/>
      </c>
      <c r="G57" s="106"/>
      <c r="H57" s="105"/>
      <c r="I57" s="105"/>
      <c r="J57" s="118"/>
      <c r="K57" s="106"/>
      <c r="L57" s="106"/>
      <c r="M57" s="99" t="str">
        <f aca="false">IF(OR(K57="",L57=""),"",IF((IF(L57="Alto",3,IF(L57="Médio",2,1))-IF(K57="Alto",3,IF(K57="Médio",2,1)))=2,"⚡ Quick win",IF((IF(L57="Alto",3,IF(L57="Médio",2,1))-IF(K57="Alto",3,IF(K57="Médio",2,1)))=1,"🚀 Alto retorno",IF(AND(L57="Alto",K57="Alto"),"🎯 Estratégica",IF((IF(L57="Alto",3,IF(L57="Médio",2,1))-IF(K57="Alto",3,IF(K57="Médio",2,1)))=0,"⚖ Equilibrada","⏳ Baixo retorno")))))</f>
        <v/>
      </c>
      <c r="N57" s="105"/>
      <c r="O57" s="105"/>
      <c r="P57" s="106"/>
      <c r="Q57" s="105"/>
      <c r="R57" s="107"/>
      <c r="S57" s="105"/>
      <c r="T57" s="107"/>
      <c r="U57" s="105"/>
    </row>
    <row r="58" customFormat="false" ht="15" hidden="false" customHeight="false" outlineLevel="0" collapsed="false">
      <c r="A58" s="101" t="s">
        <v>1168</v>
      </c>
      <c r="B58" s="102"/>
      <c r="C58" s="102"/>
      <c r="D58" s="102"/>
      <c r="E58" s="102"/>
      <c r="F58" s="99" t="str">
        <f aca="false">IF(E58="","",IFERROR(INDEX('Fontes e Parcerias'!$C$5:$C$500,MATCH(IFERROR(LEFT(E58,FIND(" · ",E58)-1),E58),'Fontes e Parcerias'!$A$5:$A$500,0)),"Fonte não encontrada"))</f>
        <v/>
      </c>
      <c r="G58" s="103"/>
      <c r="H58" s="102"/>
      <c r="I58" s="102"/>
      <c r="J58" s="117"/>
      <c r="K58" s="103"/>
      <c r="L58" s="103"/>
      <c r="M58" s="99" t="str">
        <f aca="false">IF(OR(K58="",L58=""),"",IF((IF(L58="Alto",3,IF(L58="Médio",2,1))-IF(K58="Alto",3,IF(K58="Médio",2,1)))=2,"⚡ Quick win",IF((IF(L58="Alto",3,IF(L58="Médio",2,1))-IF(K58="Alto",3,IF(K58="Médio",2,1)))=1,"🚀 Alto retorno",IF(AND(L58="Alto",K58="Alto"),"🎯 Estratégica",IF((IF(L58="Alto",3,IF(L58="Médio",2,1))-IF(K58="Alto",3,IF(K58="Médio",2,1)))=0,"⚖ Equilibrada","⏳ Baixo retorno")))))</f>
        <v/>
      </c>
      <c r="N58" s="102"/>
      <c r="O58" s="102"/>
      <c r="P58" s="103"/>
      <c r="Q58" s="102"/>
      <c r="R58" s="104"/>
      <c r="S58" s="102"/>
      <c r="T58" s="104"/>
      <c r="U58" s="102"/>
    </row>
    <row r="59" customFormat="false" ht="15" hidden="false" customHeight="false" outlineLevel="0" collapsed="false">
      <c r="A59" s="93" t="s">
        <v>1169</v>
      </c>
      <c r="B59" s="105"/>
      <c r="C59" s="105"/>
      <c r="D59" s="105"/>
      <c r="E59" s="105"/>
      <c r="F59" s="99" t="str">
        <f aca="false">IF(E59="","",IFERROR(INDEX('Fontes e Parcerias'!$C$5:$C$500,MATCH(IFERROR(LEFT(E59,FIND(" · ",E59)-1),E59),'Fontes e Parcerias'!$A$5:$A$500,0)),"Fonte não encontrada"))</f>
        <v/>
      </c>
      <c r="G59" s="106"/>
      <c r="H59" s="105"/>
      <c r="I59" s="105"/>
      <c r="J59" s="118"/>
      <c r="K59" s="106"/>
      <c r="L59" s="106"/>
      <c r="M59" s="99" t="str">
        <f aca="false">IF(OR(K59="",L59=""),"",IF((IF(L59="Alto",3,IF(L59="Médio",2,1))-IF(K59="Alto",3,IF(K59="Médio",2,1)))=2,"⚡ Quick win",IF((IF(L59="Alto",3,IF(L59="Médio",2,1))-IF(K59="Alto",3,IF(K59="Médio",2,1)))=1,"🚀 Alto retorno",IF(AND(L59="Alto",K59="Alto"),"🎯 Estratégica",IF((IF(L59="Alto",3,IF(L59="Médio",2,1))-IF(K59="Alto",3,IF(K59="Médio",2,1)))=0,"⚖ Equilibrada","⏳ Baixo retorno")))))</f>
        <v/>
      </c>
      <c r="N59" s="105"/>
      <c r="O59" s="105"/>
      <c r="P59" s="106"/>
      <c r="Q59" s="105"/>
      <c r="R59" s="107"/>
      <c r="S59" s="105"/>
      <c r="T59" s="107"/>
      <c r="U59" s="105"/>
    </row>
    <row r="60" customFormat="false" ht="15" hidden="false" customHeight="false" outlineLevel="0" collapsed="false">
      <c r="A60" s="101" t="s">
        <v>1170</v>
      </c>
      <c r="B60" s="102"/>
      <c r="C60" s="102"/>
      <c r="D60" s="102"/>
      <c r="E60" s="102"/>
      <c r="F60" s="99" t="str">
        <f aca="false">IF(E60="","",IFERROR(INDEX('Fontes e Parcerias'!$C$5:$C$500,MATCH(IFERROR(LEFT(E60,FIND(" · ",E60)-1),E60),'Fontes e Parcerias'!$A$5:$A$500,0)),"Fonte não encontrada"))</f>
        <v/>
      </c>
      <c r="G60" s="103"/>
      <c r="H60" s="102"/>
      <c r="I60" s="102"/>
      <c r="J60" s="117"/>
      <c r="K60" s="103"/>
      <c r="L60" s="103"/>
      <c r="M60" s="99" t="str">
        <f aca="false">IF(OR(K60="",L60=""),"",IF((IF(L60="Alto",3,IF(L60="Médio",2,1))-IF(K60="Alto",3,IF(K60="Médio",2,1)))=2,"⚡ Quick win",IF((IF(L60="Alto",3,IF(L60="Médio",2,1))-IF(K60="Alto",3,IF(K60="Médio",2,1)))=1,"🚀 Alto retorno",IF(AND(L60="Alto",K60="Alto"),"🎯 Estratégica",IF((IF(L60="Alto",3,IF(L60="Médio",2,1))-IF(K60="Alto",3,IF(K60="Médio",2,1)))=0,"⚖ Equilibrada","⏳ Baixo retorno")))))</f>
        <v/>
      </c>
      <c r="N60" s="102"/>
      <c r="O60" s="102"/>
      <c r="P60" s="103"/>
      <c r="Q60" s="102"/>
      <c r="R60" s="104"/>
      <c r="S60" s="102"/>
      <c r="T60" s="104"/>
      <c r="U60" s="102"/>
    </row>
    <row r="61" customFormat="false" ht="15" hidden="false" customHeight="false" outlineLevel="0" collapsed="false">
      <c r="A61" s="93" t="s">
        <v>1171</v>
      </c>
      <c r="B61" s="105"/>
      <c r="C61" s="105"/>
      <c r="D61" s="105"/>
      <c r="E61" s="105"/>
      <c r="F61" s="99" t="str">
        <f aca="false">IF(E61="","",IFERROR(INDEX('Fontes e Parcerias'!$C$5:$C$500,MATCH(IFERROR(LEFT(E61,FIND(" · ",E61)-1),E61),'Fontes e Parcerias'!$A$5:$A$500,0)),"Fonte não encontrada"))</f>
        <v/>
      </c>
      <c r="G61" s="106"/>
      <c r="H61" s="105"/>
      <c r="I61" s="105"/>
      <c r="J61" s="118"/>
      <c r="K61" s="106"/>
      <c r="L61" s="106"/>
      <c r="M61" s="99" t="str">
        <f aca="false">IF(OR(K61="",L61=""),"",IF((IF(L61="Alto",3,IF(L61="Médio",2,1))-IF(K61="Alto",3,IF(K61="Médio",2,1)))=2,"⚡ Quick win",IF((IF(L61="Alto",3,IF(L61="Médio",2,1))-IF(K61="Alto",3,IF(K61="Médio",2,1)))=1,"🚀 Alto retorno",IF(AND(L61="Alto",K61="Alto"),"🎯 Estratégica",IF((IF(L61="Alto",3,IF(L61="Médio",2,1))-IF(K61="Alto",3,IF(K61="Médio",2,1)))=0,"⚖ Equilibrada","⏳ Baixo retorno")))))</f>
        <v/>
      </c>
      <c r="N61" s="105"/>
      <c r="O61" s="105"/>
      <c r="P61" s="106"/>
      <c r="Q61" s="105"/>
      <c r="R61" s="107"/>
      <c r="S61" s="105"/>
      <c r="T61" s="107"/>
      <c r="U61" s="105"/>
    </row>
    <row r="62" customFormat="false" ht="15" hidden="false" customHeight="false" outlineLevel="0" collapsed="false">
      <c r="A62" s="101" t="s">
        <v>1172</v>
      </c>
      <c r="B62" s="102"/>
      <c r="C62" s="102"/>
      <c r="D62" s="102"/>
      <c r="E62" s="102"/>
      <c r="F62" s="99" t="str">
        <f aca="false">IF(E62="","",IFERROR(INDEX('Fontes e Parcerias'!$C$5:$C$500,MATCH(IFERROR(LEFT(E62,FIND(" · ",E62)-1),E62),'Fontes e Parcerias'!$A$5:$A$500,0)),"Fonte não encontrada"))</f>
        <v/>
      </c>
      <c r="G62" s="103"/>
      <c r="H62" s="102"/>
      <c r="I62" s="102"/>
      <c r="J62" s="117"/>
      <c r="K62" s="103"/>
      <c r="L62" s="103"/>
      <c r="M62" s="99" t="str">
        <f aca="false">IF(OR(K62="",L62=""),"",IF((IF(L62="Alto",3,IF(L62="Médio",2,1))-IF(K62="Alto",3,IF(K62="Médio",2,1)))=2,"⚡ Quick win",IF((IF(L62="Alto",3,IF(L62="Médio",2,1))-IF(K62="Alto",3,IF(K62="Médio",2,1)))=1,"🚀 Alto retorno",IF(AND(L62="Alto",K62="Alto"),"🎯 Estratégica",IF((IF(L62="Alto",3,IF(L62="Médio",2,1))-IF(K62="Alto",3,IF(K62="Médio",2,1)))=0,"⚖ Equilibrada","⏳ Baixo retorno")))))</f>
        <v/>
      </c>
      <c r="N62" s="102"/>
      <c r="O62" s="102"/>
      <c r="P62" s="103"/>
      <c r="Q62" s="102"/>
      <c r="R62" s="104"/>
      <c r="S62" s="102"/>
      <c r="T62" s="104"/>
      <c r="U62" s="102"/>
    </row>
    <row r="63" customFormat="false" ht="15" hidden="false" customHeight="false" outlineLevel="0" collapsed="false">
      <c r="A63" s="93" t="s">
        <v>1173</v>
      </c>
      <c r="B63" s="105"/>
      <c r="C63" s="105"/>
      <c r="D63" s="105"/>
      <c r="E63" s="105"/>
      <c r="F63" s="99" t="str">
        <f aca="false">IF(E63="","",IFERROR(INDEX('Fontes e Parcerias'!$C$5:$C$500,MATCH(IFERROR(LEFT(E63,FIND(" · ",E63)-1),E63),'Fontes e Parcerias'!$A$5:$A$500,0)),"Fonte não encontrada"))</f>
        <v/>
      </c>
      <c r="G63" s="106"/>
      <c r="H63" s="105"/>
      <c r="I63" s="105"/>
      <c r="J63" s="118"/>
      <c r="K63" s="106"/>
      <c r="L63" s="106"/>
      <c r="M63" s="99" t="str">
        <f aca="false">IF(OR(K63="",L63=""),"",IF((IF(L63="Alto",3,IF(L63="Médio",2,1))-IF(K63="Alto",3,IF(K63="Médio",2,1)))=2,"⚡ Quick win",IF((IF(L63="Alto",3,IF(L63="Médio",2,1))-IF(K63="Alto",3,IF(K63="Médio",2,1)))=1,"🚀 Alto retorno",IF(AND(L63="Alto",K63="Alto"),"🎯 Estratégica",IF((IF(L63="Alto",3,IF(L63="Médio",2,1))-IF(K63="Alto",3,IF(K63="Médio",2,1)))=0,"⚖ Equilibrada","⏳ Baixo retorno")))))</f>
        <v/>
      </c>
      <c r="N63" s="105"/>
      <c r="O63" s="105"/>
      <c r="P63" s="106"/>
      <c r="Q63" s="105"/>
      <c r="R63" s="107"/>
      <c r="S63" s="105"/>
      <c r="T63" s="107"/>
      <c r="U63" s="105"/>
    </row>
    <row r="64" customFormat="false" ht="15" hidden="false" customHeight="false" outlineLevel="0" collapsed="false">
      <c r="A64" s="101" t="s">
        <v>1174</v>
      </c>
      <c r="B64" s="102"/>
      <c r="C64" s="102"/>
      <c r="D64" s="102"/>
      <c r="E64" s="102"/>
      <c r="F64" s="99" t="str">
        <f aca="false">IF(E64="","",IFERROR(INDEX('Fontes e Parcerias'!$C$5:$C$500,MATCH(IFERROR(LEFT(E64,FIND(" · ",E64)-1),E64),'Fontes e Parcerias'!$A$5:$A$500,0)),"Fonte não encontrada"))</f>
        <v/>
      </c>
      <c r="G64" s="103"/>
      <c r="H64" s="102"/>
      <c r="I64" s="102"/>
      <c r="J64" s="117"/>
      <c r="K64" s="103"/>
      <c r="L64" s="103"/>
      <c r="M64" s="99" t="str">
        <f aca="false">IF(OR(K64="",L64=""),"",IF((IF(L64="Alto",3,IF(L64="Médio",2,1))-IF(K64="Alto",3,IF(K64="Médio",2,1)))=2,"⚡ Quick win",IF((IF(L64="Alto",3,IF(L64="Médio",2,1))-IF(K64="Alto",3,IF(K64="Médio",2,1)))=1,"🚀 Alto retorno",IF(AND(L64="Alto",K64="Alto"),"🎯 Estratégica",IF((IF(L64="Alto",3,IF(L64="Médio",2,1))-IF(K64="Alto",3,IF(K64="Médio",2,1)))=0,"⚖ Equilibrada","⏳ Baixo retorno")))))</f>
        <v/>
      </c>
      <c r="N64" s="102"/>
      <c r="O64" s="102"/>
      <c r="P64" s="103"/>
      <c r="Q64" s="102"/>
      <c r="R64" s="104"/>
      <c r="S64" s="102"/>
      <c r="T64" s="104"/>
      <c r="U64" s="102"/>
    </row>
    <row r="65" customFormat="false" ht="15" hidden="false" customHeight="false" outlineLevel="0" collapsed="false">
      <c r="A65" s="93" t="s">
        <v>1175</v>
      </c>
      <c r="B65" s="105"/>
      <c r="C65" s="105"/>
      <c r="D65" s="105"/>
      <c r="E65" s="105"/>
      <c r="F65" s="99" t="str">
        <f aca="false">IF(E65="","",IFERROR(INDEX('Fontes e Parcerias'!$C$5:$C$500,MATCH(IFERROR(LEFT(E65,FIND(" · ",E65)-1),E65),'Fontes e Parcerias'!$A$5:$A$500,0)),"Fonte não encontrada"))</f>
        <v/>
      </c>
      <c r="G65" s="106"/>
      <c r="H65" s="105"/>
      <c r="I65" s="105"/>
      <c r="J65" s="118"/>
      <c r="K65" s="106"/>
      <c r="L65" s="106"/>
      <c r="M65" s="99" t="str">
        <f aca="false">IF(OR(K65="",L65=""),"",IF((IF(L65="Alto",3,IF(L65="Médio",2,1))-IF(K65="Alto",3,IF(K65="Médio",2,1)))=2,"⚡ Quick win",IF((IF(L65="Alto",3,IF(L65="Médio",2,1))-IF(K65="Alto",3,IF(K65="Médio",2,1)))=1,"🚀 Alto retorno",IF(AND(L65="Alto",K65="Alto"),"🎯 Estratégica",IF((IF(L65="Alto",3,IF(L65="Médio",2,1))-IF(K65="Alto",3,IF(K65="Médio",2,1)))=0,"⚖ Equilibrada","⏳ Baixo retorno")))))</f>
        <v/>
      </c>
      <c r="N65" s="105"/>
      <c r="O65" s="105"/>
      <c r="P65" s="106"/>
      <c r="Q65" s="105"/>
      <c r="R65" s="107"/>
      <c r="S65" s="105"/>
      <c r="T65" s="107"/>
      <c r="U65" s="105"/>
    </row>
    <row r="66" customFormat="false" ht="15" hidden="false" customHeight="false" outlineLevel="0" collapsed="false">
      <c r="A66" s="101" t="s">
        <v>1176</v>
      </c>
      <c r="B66" s="102"/>
      <c r="C66" s="102"/>
      <c r="D66" s="102"/>
      <c r="E66" s="102"/>
      <c r="F66" s="99" t="str">
        <f aca="false">IF(E66="","",IFERROR(INDEX('Fontes e Parcerias'!$C$5:$C$500,MATCH(IFERROR(LEFT(E66,FIND(" · ",E66)-1),E66),'Fontes e Parcerias'!$A$5:$A$500,0)),"Fonte não encontrada"))</f>
        <v/>
      </c>
      <c r="G66" s="103"/>
      <c r="H66" s="102"/>
      <c r="I66" s="102"/>
      <c r="J66" s="117"/>
      <c r="K66" s="103"/>
      <c r="L66" s="103"/>
      <c r="M66" s="99" t="str">
        <f aca="false">IF(OR(K66="",L66=""),"",IF((IF(L66="Alto",3,IF(L66="Médio",2,1))-IF(K66="Alto",3,IF(K66="Médio",2,1)))=2,"⚡ Quick win",IF((IF(L66="Alto",3,IF(L66="Médio",2,1))-IF(K66="Alto",3,IF(K66="Médio",2,1)))=1,"🚀 Alto retorno",IF(AND(L66="Alto",K66="Alto"),"🎯 Estratégica",IF((IF(L66="Alto",3,IF(L66="Médio",2,1))-IF(K66="Alto",3,IF(K66="Médio",2,1)))=0,"⚖ Equilibrada","⏳ Baixo retorno")))))</f>
        <v/>
      </c>
      <c r="N66" s="102"/>
      <c r="O66" s="102"/>
      <c r="P66" s="103"/>
      <c r="Q66" s="102"/>
      <c r="R66" s="104"/>
      <c r="S66" s="102"/>
      <c r="T66" s="104"/>
      <c r="U66" s="102"/>
    </row>
    <row r="67" customFormat="false" ht="15" hidden="false" customHeight="false" outlineLevel="0" collapsed="false">
      <c r="A67" s="93" t="s">
        <v>1177</v>
      </c>
      <c r="B67" s="105"/>
      <c r="C67" s="105"/>
      <c r="D67" s="105"/>
      <c r="E67" s="105"/>
      <c r="F67" s="99" t="str">
        <f aca="false">IF(E67="","",IFERROR(INDEX('Fontes e Parcerias'!$C$5:$C$500,MATCH(IFERROR(LEFT(E67,FIND(" · ",E67)-1),E67),'Fontes e Parcerias'!$A$5:$A$500,0)),"Fonte não encontrada"))</f>
        <v/>
      </c>
      <c r="G67" s="106"/>
      <c r="H67" s="105"/>
      <c r="I67" s="105"/>
      <c r="J67" s="118"/>
      <c r="K67" s="106"/>
      <c r="L67" s="106"/>
      <c r="M67" s="99" t="str">
        <f aca="false">IF(OR(K67="",L67=""),"",IF((IF(L67="Alto",3,IF(L67="Médio",2,1))-IF(K67="Alto",3,IF(K67="Médio",2,1)))=2,"⚡ Quick win",IF((IF(L67="Alto",3,IF(L67="Médio",2,1))-IF(K67="Alto",3,IF(K67="Médio",2,1)))=1,"🚀 Alto retorno",IF(AND(L67="Alto",K67="Alto"),"🎯 Estratégica",IF((IF(L67="Alto",3,IF(L67="Médio",2,1))-IF(K67="Alto",3,IF(K67="Médio",2,1)))=0,"⚖ Equilibrada","⏳ Baixo retorno")))))</f>
        <v/>
      </c>
      <c r="N67" s="105"/>
      <c r="O67" s="105"/>
      <c r="P67" s="106"/>
      <c r="Q67" s="105"/>
      <c r="R67" s="107"/>
      <c r="S67" s="105"/>
      <c r="T67" s="107"/>
      <c r="U67" s="105"/>
    </row>
    <row r="68" customFormat="false" ht="15" hidden="false" customHeight="false" outlineLevel="0" collapsed="false">
      <c r="A68" s="101" t="s">
        <v>1178</v>
      </c>
      <c r="B68" s="102"/>
      <c r="C68" s="102"/>
      <c r="D68" s="102"/>
      <c r="E68" s="102"/>
      <c r="F68" s="99" t="str">
        <f aca="false">IF(E68="","",IFERROR(INDEX('Fontes e Parcerias'!$C$5:$C$500,MATCH(IFERROR(LEFT(E68,FIND(" · ",E68)-1),E68),'Fontes e Parcerias'!$A$5:$A$500,0)),"Fonte não encontrada"))</f>
        <v/>
      </c>
      <c r="G68" s="103"/>
      <c r="H68" s="102"/>
      <c r="I68" s="102"/>
      <c r="J68" s="117"/>
      <c r="K68" s="103"/>
      <c r="L68" s="103"/>
      <c r="M68" s="99" t="str">
        <f aca="false">IF(OR(K68="",L68=""),"",IF((IF(L68="Alto",3,IF(L68="Médio",2,1))-IF(K68="Alto",3,IF(K68="Médio",2,1)))=2,"⚡ Quick win",IF((IF(L68="Alto",3,IF(L68="Médio",2,1))-IF(K68="Alto",3,IF(K68="Médio",2,1)))=1,"🚀 Alto retorno",IF(AND(L68="Alto",K68="Alto"),"🎯 Estratégica",IF((IF(L68="Alto",3,IF(L68="Médio",2,1))-IF(K68="Alto",3,IF(K68="Médio",2,1)))=0,"⚖ Equilibrada","⏳ Baixo retorno")))))</f>
        <v/>
      </c>
      <c r="N68" s="102"/>
      <c r="O68" s="102"/>
      <c r="P68" s="103"/>
      <c r="Q68" s="102"/>
      <c r="R68" s="104"/>
      <c r="S68" s="102"/>
      <c r="T68" s="104"/>
      <c r="U68" s="102"/>
    </row>
    <row r="69" customFormat="false" ht="15" hidden="false" customHeight="false" outlineLevel="0" collapsed="false">
      <c r="A69" s="93" t="s">
        <v>1179</v>
      </c>
      <c r="B69" s="105"/>
      <c r="C69" s="105"/>
      <c r="D69" s="105"/>
      <c r="E69" s="105"/>
      <c r="F69" s="99" t="str">
        <f aca="false">IF(E69="","",IFERROR(INDEX('Fontes e Parcerias'!$C$5:$C$500,MATCH(IFERROR(LEFT(E69,FIND(" · ",E69)-1),E69),'Fontes e Parcerias'!$A$5:$A$500,0)),"Fonte não encontrada"))</f>
        <v/>
      </c>
      <c r="G69" s="106"/>
      <c r="H69" s="105"/>
      <c r="I69" s="105"/>
      <c r="J69" s="118"/>
      <c r="K69" s="106"/>
      <c r="L69" s="106"/>
      <c r="M69" s="99" t="str">
        <f aca="false">IF(OR(K69="",L69=""),"",IF((IF(L69="Alto",3,IF(L69="Médio",2,1))-IF(K69="Alto",3,IF(K69="Médio",2,1)))=2,"⚡ Quick win",IF((IF(L69="Alto",3,IF(L69="Médio",2,1))-IF(K69="Alto",3,IF(K69="Médio",2,1)))=1,"🚀 Alto retorno",IF(AND(L69="Alto",K69="Alto"),"🎯 Estratégica",IF((IF(L69="Alto",3,IF(L69="Médio",2,1))-IF(K69="Alto",3,IF(K69="Médio",2,1)))=0,"⚖ Equilibrada","⏳ Baixo retorno")))))</f>
        <v/>
      </c>
      <c r="N69" s="105"/>
      <c r="O69" s="105"/>
      <c r="P69" s="106"/>
      <c r="Q69" s="105"/>
      <c r="R69" s="107"/>
      <c r="S69" s="105"/>
      <c r="T69" s="107"/>
      <c r="U69" s="105"/>
    </row>
    <row r="70" customFormat="false" ht="15" hidden="false" customHeight="false" outlineLevel="0" collapsed="false">
      <c r="A70" s="101" t="s">
        <v>1180</v>
      </c>
      <c r="B70" s="102"/>
      <c r="C70" s="102"/>
      <c r="D70" s="102"/>
      <c r="E70" s="102"/>
      <c r="F70" s="99" t="str">
        <f aca="false">IF(E70="","",IFERROR(INDEX('Fontes e Parcerias'!$C$5:$C$500,MATCH(IFERROR(LEFT(E70,FIND(" · ",E70)-1),E70),'Fontes e Parcerias'!$A$5:$A$500,0)),"Fonte não encontrada"))</f>
        <v/>
      </c>
      <c r="G70" s="103"/>
      <c r="H70" s="102"/>
      <c r="I70" s="102"/>
      <c r="J70" s="117"/>
      <c r="K70" s="103"/>
      <c r="L70" s="103"/>
      <c r="M70" s="99" t="str">
        <f aca="false">IF(OR(K70="",L70=""),"",IF((IF(L70="Alto",3,IF(L70="Médio",2,1))-IF(K70="Alto",3,IF(K70="Médio",2,1)))=2,"⚡ Quick win",IF((IF(L70="Alto",3,IF(L70="Médio",2,1))-IF(K70="Alto",3,IF(K70="Médio",2,1)))=1,"🚀 Alto retorno",IF(AND(L70="Alto",K70="Alto"),"🎯 Estratégica",IF((IF(L70="Alto",3,IF(L70="Médio",2,1))-IF(K70="Alto",3,IF(K70="Médio",2,1)))=0,"⚖ Equilibrada","⏳ Baixo retorno")))))</f>
        <v/>
      </c>
      <c r="N70" s="102"/>
      <c r="O70" s="102"/>
      <c r="P70" s="103"/>
      <c r="Q70" s="102"/>
      <c r="R70" s="104"/>
      <c r="S70" s="102"/>
      <c r="T70" s="104"/>
      <c r="U70" s="102"/>
    </row>
    <row r="71" customFormat="false" ht="15" hidden="false" customHeight="false" outlineLevel="0" collapsed="false">
      <c r="A71" s="93" t="s">
        <v>1181</v>
      </c>
      <c r="B71" s="105"/>
      <c r="C71" s="105"/>
      <c r="D71" s="105"/>
      <c r="E71" s="105"/>
      <c r="F71" s="99" t="str">
        <f aca="false">IF(E71="","",IFERROR(INDEX('Fontes e Parcerias'!$C$5:$C$500,MATCH(IFERROR(LEFT(E71,FIND(" · ",E71)-1),E71),'Fontes e Parcerias'!$A$5:$A$500,0)),"Fonte não encontrada"))</f>
        <v/>
      </c>
      <c r="G71" s="106"/>
      <c r="H71" s="105"/>
      <c r="I71" s="105"/>
      <c r="J71" s="118"/>
      <c r="K71" s="106"/>
      <c r="L71" s="106"/>
      <c r="M71" s="99" t="str">
        <f aca="false">IF(OR(K71="",L71=""),"",IF((IF(L71="Alto",3,IF(L71="Médio",2,1))-IF(K71="Alto",3,IF(K71="Médio",2,1)))=2,"⚡ Quick win",IF((IF(L71="Alto",3,IF(L71="Médio",2,1))-IF(K71="Alto",3,IF(K71="Médio",2,1)))=1,"🚀 Alto retorno",IF(AND(L71="Alto",K71="Alto"),"🎯 Estratégica",IF((IF(L71="Alto",3,IF(L71="Médio",2,1))-IF(K71="Alto",3,IF(K71="Médio",2,1)))=0,"⚖ Equilibrada","⏳ Baixo retorno")))))</f>
        <v/>
      </c>
      <c r="N71" s="105"/>
      <c r="O71" s="105"/>
      <c r="P71" s="106"/>
      <c r="Q71" s="105"/>
      <c r="R71" s="107"/>
      <c r="S71" s="105"/>
      <c r="T71" s="107"/>
      <c r="U71" s="105"/>
    </row>
    <row r="72" customFormat="false" ht="15" hidden="false" customHeight="false" outlineLevel="0" collapsed="false">
      <c r="A72" s="101" t="s">
        <v>1182</v>
      </c>
      <c r="B72" s="102"/>
      <c r="C72" s="102"/>
      <c r="D72" s="102"/>
      <c r="E72" s="102"/>
      <c r="F72" s="99" t="str">
        <f aca="false">IF(E72="","",IFERROR(INDEX('Fontes e Parcerias'!$C$5:$C$500,MATCH(IFERROR(LEFT(E72,FIND(" · ",E72)-1),E72),'Fontes e Parcerias'!$A$5:$A$500,0)),"Fonte não encontrada"))</f>
        <v/>
      </c>
      <c r="G72" s="103"/>
      <c r="H72" s="102"/>
      <c r="I72" s="102"/>
      <c r="J72" s="117"/>
      <c r="K72" s="103"/>
      <c r="L72" s="103"/>
      <c r="M72" s="99" t="str">
        <f aca="false">IF(OR(K72="",L72=""),"",IF((IF(L72="Alto",3,IF(L72="Médio",2,1))-IF(K72="Alto",3,IF(K72="Médio",2,1)))=2,"⚡ Quick win",IF((IF(L72="Alto",3,IF(L72="Médio",2,1))-IF(K72="Alto",3,IF(K72="Médio",2,1)))=1,"🚀 Alto retorno",IF(AND(L72="Alto",K72="Alto"),"🎯 Estratégica",IF((IF(L72="Alto",3,IF(L72="Médio",2,1))-IF(K72="Alto",3,IF(K72="Médio",2,1)))=0,"⚖ Equilibrada","⏳ Baixo retorno")))))</f>
        <v/>
      </c>
      <c r="N72" s="102"/>
      <c r="O72" s="102"/>
      <c r="P72" s="103"/>
      <c r="Q72" s="102"/>
      <c r="R72" s="104"/>
      <c r="S72" s="102"/>
      <c r="T72" s="104"/>
      <c r="U72" s="102"/>
    </row>
    <row r="73" customFormat="false" ht="15" hidden="false" customHeight="false" outlineLevel="0" collapsed="false">
      <c r="A73" s="93" t="s">
        <v>1183</v>
      </c>
      <c r="B73" s="105"/>
      <c r="C73" s="105"/>
      <c r="D73" s="105"/>
      <c r="E73" s="105"/>
      <c r="F73" s="99" t="str">
        <f aca="false">IF(E73="","",IFERROR(INDEX('Fontes e Parcerias'!$C$5:$C$500,MATCH(IFERROR(LEFT(E73,FIND(" · ",E73)-1),E73),'Fontes e Parcerias'!$A$5:$A$500,0)),"Fonte não encontrada"))</f>
        <v/>
      </c>
      <c r="G73" s="106"/>
      <c r="H73" s="105"/>
      <c r="I73" s="105"/>
      <c r="J73" s="118"/>
      <c r="K73" s="106"/>
      <c r="L73" s="106"/>
      <c r="M73" s="99" t="str">
        <f aca="false">IF(OR(K73="",L73=""),"",IF((IF(L73="Alto",3,IF(L73="Médio",2,1))-IF(K73="Alto",3,IF(K73="Médio",2,1)))=2,"⚡ Quick win",IF((IF(L73="Alto",3,IF(L73="Médio",2,1))-IF(K73="Alto",3,IF(K73="Médio",2,1)))=1,"🚀 Alto retorno",IF(AND(L73="Alto",K73="Alto"),"🎯 Estratégica",IF((IF(L73="Alto",3,IF(L73="Médio",2,1))-IF(K73="Alto",3,IF(K73="Médio",2,1)))=0,"⚖ Equilibrada","⏳ Baixo retorno")))))</f>
        <v/>
      </c>
      <c r="N73" s="105"/>
      <c r="O73" s="105"/>
      <c r="P73" s="106"/>
      <c r="Q73" s="105"/>
      <c r="R73" s="107"/>
      <c r="S73" s="105"/>
      <c r="T73" s="107"/>
      <c r="U73" s="105"/>
    </row>
    <row r="74" customFormat="false" ht="15" hidden="false" customHeight="false" outlineLevel="0" collapsed="false">
      <c r="A74" s="101" t="s">
        <v>1184</v>
      </c>
      <c r="B74" s="102"/>
      <c r="C74" s="102"/>
      <c r="D74" s="102"/>
      <c r="E74" s="102"/>
      <c r="F74" s="99" t="str">
        <f aca="false">IF(E74="","",IFERROR(INDEX('Fontes e Parcerias'!$C$5:$C$500,MATCH(IFERROR(LEFT(E74,FIND(" · ",E74)-1),E74),'Fontes e Parcerias'!$A$5:$A$500,0)),"Fonte não encontrada"))</f>
        <v/>
      </c>
      <c r="G74" s="103"/>
      <c r="H74" s="102"/>
      <c r="I74" s="102"/>
      <c r="J74" s="117"/>
      <c r="K74" s="103"/>
      <c r="L74" s="103"/>
      <c r="M74" s="99" t="str">
        <f aca="false">IF(OR(K74="",L74=""),"",IF((IF(L74="Alto",3,IF(L74="Médio",2,1))-IF(K74="Alto",3,IF(K74="Médio",2,1)))=2,"⚡ Quick win",IF((IF(L74="Alto",3,IF(L74="Médio",2,1))-IF(K74="Alto",3,IF(K74="Médio",2,1)))=1,"🚀 Alto retorno",IF(AND(L74="Alto",K74="Alto"),"🎯 Estratégica",IF((IF(L74="Alto",3,IF(L74="Médio",2,1))-IF(K74="Alto",3,IF(K74="Médio",2,1)))=0,"⚖ Equilibrada","⏳ Baixo retorno")))))</f>
        <v/>
      </c>
      <c r="N74" s="102"/>
      <c r="O74" s="102"/>
      <c r="P74" s="103"/>
      <c r="Q74" s="102"/>
      <c r="R74" s="104"/>
      <c r="S74" s="102"/>
      <c r="T74" s="104"/>
      <c r="U74" s="102"/>
    </row>
    <row r="75" customFormat="false" ht="15" hidden="false" customHeight="false" outlineLevel="0" collapsed="false">
      <c r="A75" s="93" t="s">
        <v>1185</v>
      </c>
      <c r="B75" s="105"/>
      <c r="C75" s="105"/>
      <c r="D75" s="105"/>
      <c r="E75" s="105"/>
      <c r="F75" s="99" t="str">
        <f aca="false">IF(E75="","",IFERROR(INDEX('Fontes e Parcerias'!$C$5:$C$500,MATCH(IFERROR(LEFT(E75,FIND(" · ",E75)-1),E75),'Fontes e Parcerias'!$A$5:$A$500,0)),"Fonte não encontrada"))</f>
        <v/>
      </c>
      <c r="G75" s="106"/>
      <c r="H75" s="105"/>
      <c r="I75" s="105"/>
      <c r="J75" s="118"/>
      <c r="K75" s="106"/>
      <c r="L75" s="106"/>
      <c r="M75" s="99" t="str">
        <f aca="false">IF(OR(K75="",L75=""),"",IF((IF(L75="Alto",3,IF(L75="Médio",2,1))-IF(K75="Alto",3,IF(K75="Médio",2,1)))=2,"⚡ Quick win",IF((IF(L75="Alto",3,IF(L75="Médio",2,1))-IF(K75="Alto",3,IF(K75="Médio",2,1)))=1,"🚀 Alto retorno",IF(AND(L75="Alto",K75="Alto"),"🎯 Estratégica",IF((IF(L75="Alto",3,IF(L75="Médio",2,1))-IF(K75="Alto",3,IF(K75="Médio",2,1)))=0,"⚖ Equilibrada","⏳ Baixo retorno")))))</f>
        <v/>
      </c>
      <c r="N75" s="105"/>
      <c r="O75" s="105"/>
      <c r="P75" s="106"/>
      <c r="Q75" s="105"/>
      <c r="R75" s="107"/>
      <c r="S75" s="105"/>
      <c r="T75" s="107"/>
      <c r="U75" s="105"/>
    </row>
    <row r="76" customFormat="false" ht="15" hidden="false" customHeight="false" outlineLevel="0" collapsed="false">
      <c r="A76" s="101" t="s">
        <v>1186</v>
      </c>
      <c r="B76" s="102"/>
      <c r="C76" s="102"/>
      <c r="D76" s="102"/>
      <c r="E76" s="102"/>
      <c r="F76" s="99" t="str">
        <f aca="false">IF(E76="","",IFERROR(INDEX('Fontes e Parcerias'!$C$5:$C$500,MATCH(IFERROR(LEFT(E76,FIND(" · ",E76)-1),E76),'Fontes e Parcerias'!$A$5:$A$500,0)),"Fonte não encontrada"))</f>
        <v/>
      </c>
      <c r="G76" s="103"/>
      <c r="H76" s="102"/>
      <c r="I76" s="102"/>
      <c r="J76" s="117"/>
      <c r="K76" s="103"/>
      <c r="L76" s="103"/>
      <c r="M76" s="99" t="str">
        <f aca="false">IF(OR(K76="",L76=""),"",IF((IF(L76="Alto",3,IF(L76="Médio",2,1))-IF(K76="Alto",3,IF(K76="Médio",2,1)))=2,"⚡ Quick win",IF((IF(L76="Alto",3,IF(L76="Médio",2,1))-IF(K76="Alto",3,IF(K76="Médio",2,1)))=1,"🚀 Alto retorno",IF(AND(L76="Alto",K76="Alto"),"🎯 Estratégica",IF((IF(L76="Alto",3,IF(L76="Médio",2,1))-IF(K76="Alto",3,IF(K76="Médio",2,1)))=0,"⚖ Equilibrada","⏳ Baixo retorno")))))</f>
        <v/>
      </c>
      <c r="N76" s="102"/>
      <c r="O76" s="102"/>
      <c r="P76" s="103"/>
      <c r="Q76" s="102"/>
      <c r="R76" s="104"/>
      <c r="S76" s="102"/>
      <c r="T76" s="104"/>
      <c r="U76" s="102"/>
    </row>
    <row r="77" customFormat="false" ht="15" hidden="false" customHeight="false" outlineLevel="0" collapsed="false">
      <c r="A77" s="93" t="s">
        <v>1187</v>
      </c>
      <c r="B77" s="105"/>
      <c r="C77" s="105"/>
      <c r="D77" s="105"/>
      <c r="E77" s="105"/>
      <c r="F77" s="99" t="str">
        <f aca="false">IF(E77="","",IFERROR(INDEX('Fontes e Parcerias'!$C$5:$C$500,MATCH(IFERROR(LEFT(E77,FIND(" · ",E77)-1),E77),'Fontes e Parcerias'!$A$5:$A$500,0)),"Fonte não encontrada"))</f>
        <v/>
      </c>
      <c r="G77" s="106"/>
      <c r="H77" s="105"/>
      <c r="I77" s="105"/>
      <c r="J77" s="118"/>
      <c r="K77" s="106"/>
      <c r="L77" s="106"/>
      <c r="M77" s="99" t="str">
        <f aca="false">IF(OR(K77="",L77=""),"",IF((IF(L77="Alto",3,IF(L77="Médio",2,1))-IF(K77="Alto",3,IF(K77="Médio",2,1)))=2,"⚡ Quick win",IF((IF(L77="Alto",3,IF(L77="Médio",2,1))-IF(K77="Alto",3,IF(K77="Médio",2,1)))=1,"🚀 Alto retorno",IF(AND(L77="Alto",K77="Alto"),"🎯 Estratégica",IF((IF(L77="Alto",3,IF(L77="Médio",2,1))-IF(K77="Alto",3,IF(K77="Médio",2,1)))=0,"⚖ Equilibrada","⏳ Baixo retorno")))))</f>
        <v/>
      </c>
      <c r="N77" s="105"/>
      <c r="O77" s="105"/>
      <c r="P77" s="106"/>
      <c r="Q77" s="105"/>
      <c r="R77" s="107"/>
      <c r="S77" s="105"/>
      <c r="T77" s="107"/>
      <c r="U77" s="105"/>
    </row>
    <row r="78" customFormat="false" ht="15" hidden="false" customHeight="false" outlineLevel="0" collapsed="false">
      <c r="A78" s="101" t="s">
        <v>1188</v>
      </c>
      <c r="B78" s="102"/>
      <c r="C78" s="102"/>
      <c r="D78" s="102"/>
      <c r="E78" s="102"/>
      <c r="F78" s="99" t="str">
        <f aca="false">IF(E78="","",IFERROR(INDEX('Fontes e Parcerias'!$C$5:$C$500,MATCH(IFERROR(LEFT(E78,FIND(" · ",E78)-1),E78),'Fontes e Parcerias'!$A$5:$A$500,0)),"Fonte não encontrada"))</f>
        <v/>
      </c>
      <c r="G78" s="103"/>
      <c r="H78" s="102"/>
      <c r="I78" s="102"/>
      <c r="J78" s="117"/>
      <c r="K78" s="103"/>
      <c r="L78" s="103"/>
      <c r="M78" s="99" t="str">
        <f aca="false">IF(OR(K78="",L78=""),"",IF((IF(L78="Alto",3,IF(L78="Médio",2,1))-IF(K78="Alto",3,IF(K78="Médio",2,1)))=2,"⚡ Quick win",IF((IF(L78="Alto",3,IF(L78="Médio",2,1))-IF(K78="Alto",3,IF(K78="Médio",2,1)))=1,"🚀 Alto retorno",IF(AND(L78="Alto",K78="Alto"),"🎯 Estratégica",IF((IF(L78="Alto",3,IF(L78="Médio",2,1))-IF(K78="Alto",3,IF(K78="Médio",2,1)))=0,"⚖ Equilibrada","⏳ Baixo retorno")))))</f>
        <v/>
      </c>
      <c r="N78" s="102"/>
      <c r="O78" s="102"/>
      <c r="P78" s="103"/>
      <c r="Q78" s="102"/>
      <c r="R78" s="104"/>
      <c r="S78" s="102"/>
      <c r="T78" s="104"/>
      <c r="U78" s="102"/>
    </row>
    <row r="79" customFormat="false" ht="15" hidden="false" customHeight="false" outlineLevel="0" collapsed="false">
      <c r="A79" s="93" t="s">
        <v>1189</v>
      </c>
      <c r="B79" s="105"/>
      <c r="C79" s="105"/>
      <c r="D79" s="105"/>
      <c r="E79" s="105"/>
      <c r="F79" s="99" t="str">
        <f aca="false">IF(E79="","",IFERROR(INDEX('Fontes e Parcerias'!$C$5:$C$500,MATCH(IFERROR(LEFT(E79,FIND(" · ",E79)-1),E79),'Fontes e Parcerias'!$A$5:$A$500,0)),"Fonte não encontrada"))</f>
        <v/>
      </c>
      <c r="G79" s="106"/>
      <c r="H79" s="105"/>
      <c r="I79" s="105"/>
      <c r="J79" s="118"/>
      <c r="K79" s="106"/>
      <c r="L79" s="106"/>
      <c r="M79" s="99" t="str">
        <f aca="false">IF(OR(K79="",L79=""),"",IF((IF(L79="Alto",3,IF(L79="Médio",2,1))-IF(K79="Alto",3,IF(K79="Médio",2,1)))=2,"⚡ Quick win",IF((IF(L79="Alto",3,IF(L79="Médio",2,1))-IF(K79="Alto",3,IF(K79="Médio",2,1)))=1,"🚀 Alto retorno",IF(AND(L79="Alto",K79="Alto"),"🎯 Estratégica",IF((IF(L79="Alto",3,IF(L79="Médio",2,1))-IF(K79="Alto",3,IF(K79="Médio",2,1)))=0,"⚖ Equilibrada","⏳ Baixo retorno")))))</f>
        <v/>
      </c>
      <c r="N79" s="105"/>
      <c r="O79" s="105"/>
      <c r="P79" s="106"/>
      <c r="Q79" s="105"/>
      <c r="R79" s="107"/>
      <c r="S79" s="105"/>
      <c r="T79" s="107"/>
      <c r="U79" s="105"/>
    </row>
    <row r="80" customFormat="false" ht="15" hidden="false" customHeight="false" outlineLevel="0" collapsed="false">
      <c r="A80" s="101" t="s">
        <v>1190</v>
      </c>
      <c r="B80" s="102"/>
      <c r="C80" s="102"/>
      <c r="D80" s="102"/>
      <c r="E80" s="102"/>
      <c r="F80" s="99" t="str">
        <f aca="false">IF(E80="","",IFERROR(INDEX('Fontes e Parcerias'!$C$5:$C$500,MATCH(IFERROR(LEFT(E80,FIND(" · ",E80)-1),E80),'Fontes e Parcerias'!$A$5:$A$500,0)),"Fonte não encontrada"))</f>
        <v/>
      </c>
      <c r="G80" s="103"/>
      <c r="H80" s="102"/>
      <c r="I80" s="102"/>
      <c r="J80" s="117"/>
      <c r="K80" s="103"/>
      <c r="L80" s="103"/>
      <c r="M80" s="99" t="str">
        <f aca="false">IF(OR(K80="",L80=""),"",IF((IF(L80="Alto",3,IF(L80="Médio",2,1))-IF(K80="Alto",3,IF(K80="Médio",2,1)))=2,"⚡ Quick win",IF((IF(L80="Alto",3,IF(L80="Médio",2,1))-IF(K80="Alto",3,IF(K80="Médio",2,1)))=1,"🚀 Alto retorno",IF(AND(L80="Alto",K80="Alto"),"🎯 Estratégica",IF((IF(L80="Alto",3,IF(L80="Médio",2,1))-IF(K80="Alto",3,IF(K80="Médio",2,1)))=0,"⚖ Equilibrada","⏳ Baixo retorno")))))</f>
        <v/>
      </c>
      <c r="N80" s="102"/>
      <c r="O80" s="102"/>
      <c r="P80" s="103"/>
      <c r="Q80" s="102"/>
      <c r="R80" s="104"/>
      <c r="S80" s="102"/>
      <c r="T80" s="104"/>
      <c r="U80" s="102"/>
    </row>
    <row r="81" customFormat="false" ht="15" hidden="false" customHeight="false" outlineLevel="0" collapsed="false">
      <c r="A81" s="93" t="s">
        <v>1191</v>
      </c>
      <c r="B81" s="105"/>
      <c r="C81" s="105"/>
      <c r="D81" s="105"/>
      <c r="E81" s="105"/>
      <c r="F81" s="99" t="str">
        <f aca="false">IF(E81="","",IFERROR(INDEX('Fontes e Parcerias'!$C$5:$C$500,MATCH(IFERROR(LEFT(E81,FIND(" · ",E81)-1),E81),'Fontes e Parcerias'!$A$5:$A$500,0)),"Fonte não encontrada"))</f>
        <v/>
      </c>
      <c r="G81" s="106"/>
      <c r="H81" s="105"/>
      <c r="I81" s="105"/>
      <c r="J81" s="118"/>
      <c r="K81" s="106"/>
      <c r="L81" s="106"/>
      <c r="M81" s="99" t="str">
        <f aca="false">IF(OR(K81="",L81=""),"",IF((IF(L81="Alto",3,IF(L81="Médio",2,1))-IF(K81="Alto",3,IF(K81="Médio",2,1)))=2,"⚡ Quick win",IF((IF(L81="Alto",3,IF(L81="Médio",2,1))-IF(K81="Alto",3,IF(K81="Médio",2,1)))=1,"🚀 Alto retorno",IF(AND(L81="Alto",K81="Alto"),"🎯 Estratégica",IF((IF(L81="Alto",3,IF(L81="Médio",2,1))-IF(K81="Alto",3,IF(K81="Médio",2,1)))=0,"⚖ Equilibrada","⏳ Baixo retorno")))))</f>
        <v/>
      </c>
      <c r="N81" s="105"/>
      <c r="O81" s="105"/>
      <c r="P81" s="106"/>
      <c r="Q81" s="105"/>
      <c r="R81" s="107"/>
      <c r="S81" s="105"/>
      <c r="T81" s="107"/>
      <c r="U81" s="105"/>
    </row>
    <row r="82" customFormat="false" ht="15" hidden="false" customHeight="false" outlineLevel="0" collapsed="false">
      <c r="A82" s="101" t="s">
        <v>1192</v>
      </c>
      <c r="B82" s="102"/>
      <c r="C82" s="102"/>
      <c r="D82" s="102"/>
      <c r="E82" s="102"/>
      <c r="F82" s="99" t="str">
        <f aca="false">IF(E82="","",IFERROR(INDEX('Fontes e Parcerias'!$C$5:$C$500,MATCH(IFERROR(LEFT(E82,FIND(" · ",E82)-1),E82),'Fontes e Parcerias'!$A$5:$A$500,0)),"Fonte não encontrada"))</f>
        <v/>
      </c>
      <c r="G82" s="103"/>
      <c r="H82" s="102"/>
      <c r="I82" s="102"/>
      <c r="J82" s="117"/>
      <c r="K82" s="103"/>
      <c r="L82" s="103"/>
      <c r="M82" s="99" t="str">
        <f aca="false">IF(OR(K82="",L82=""),"",IF((IF(L82="Alto",3,IF(L82="Médio",2,1))-IF(K82="Alto",3,IF(K82="Médio",2,1)))=2,"⚡ Quick win",IF((IF(L82="Alto",3,IF(L82="Médio",2,1))-IF(K82="Alto",3,IF(K82="Médio",2,1)))=1,"🚀 Alto retorno",IF(AND(L82="Alto",K82="Alto"),"🎯 Estratégica",IF((IF(L82="Alto",3,IF(L82="Médio",2,1))-IF(K82="Alto",3,IF(K82="Médio",2,1)))=0,"⚖ Equilibrada","⏳ Baixo retorno")))))</f>
        <v/>
      </c>
      <c r="N82" s="102"/>
      <c r="O82" s="102"/>
      <c r="P82" s="103"/>
      <c r="Q82" s="102"/>
      <c r="R82" s="104"/>
      <c r="S82" s="102"/>
      <c r="T82" s="104"/>
      <c r="U82" s="102"/>
    </row>
    <row r="83" customFormat="false" ht="15" hidden="false" customHeight="false" outlineLevel="0" collapsed="false">
      <c r="A83" s="93" t="s">
        <v>1193</v>
      </c>
      <c r="B83" s="105"/>
      <c r="C83" s="105"/>
      <c r="D83" s="105"/>
      <c r="E83" s="105"/>
      <c r="F83" s="99" t="str">
        <f aca="false">IF(E83="","",IFERROR(INDEX('Fontes e Parcerias'!$C$5:$C$500,MATCH(IFERROR(LEFT(E83,FIND(" · ",E83)-1),E83),'Fontes e Parcerias'!$A$5:$A$500,0)),"Fonte não encontrada"))</f>
        <v/>
      </c>
      <c r="G83" s="106"/>
      <c r="H83" s="105"/>
      <c r="I83" s="105"/>
      <c r="J83" s="118"/>
      <c r="K83" s="106"/>
      <c r="L83" s="106"/>
      <c r="M83" s="99" t="str">
        <f aca="false">IF(OR(K83="",L83=""),"",IF((IF(L83="Alto",3,IF(L83="Médio",2,1))-IF(K83="Alto",3,IF(K83="Médio",2,1)))=2,"⚡ Quick win",IF((IF(L83="Alto",3,IF(L83="Médio",2,1))-IF(K83="Alto",3,IF(K83="Médio",2,1)))=1,"🚀 Alto retorno",IF(AND(L83="Alto",K83="Alto"),"🎯 Estratégica",IF((IF(L83="Alto",3,IF(L83="Médio",2,1))-IF(K83="Alto",3,IF(K83="Médio",2,1)))=0,"⚖ Equilibrada","⏳ Baixo retorno")))))</f>
        <v/>
      </c>
      <c r="N83" s="105"/>
      <c r="O83" s="105"/>
      <c r="P83" s="106"/>
      <c r="Q83" s="105"/>
      <c r="R83" s="107"/>
      <c r="S83" s="105"/>
      <c r="T83" s="107"/>
      <c r="U83" s="105"/>
    </row>
    <row r="84" customFormat="false" ht="15" hidden="false" customHeight="false" outlineLevel="0" collapsed="false">
      <c r="A84" s="101" t="s">
        <v>1194</v>
      </c>
      <c r="B84" s="102"/>
      <c r="C84" s="102"/>
      <c r="D84" s="102"/>
      <c r="E84" s="102"/>
      <c r="F84" s="99" t="str">
        <f aca="false">IF(E84="","",IFERROR(INDEX('Fontes e Parcerias'!$C$5:$C$500,MATCH(IFERROR(LEFT(E84,FIND(" · ",E84)-1),E84),'Fontes e Parcerias'!$A$5:$A$500,0)),"Fonte não encontrada"))</f>
        <v/>
      </c>
      <c r="G84" s="103"/>
      <c r="H84" s="102"/>
      <c r="I84" s="102"/>
      <c r="J84" s="117"/>
      <c r="K84" s="103"/>
      <c r="L84" s="103"/>
      <c r="M84" s="99" t="str">
        <f aca="false">IF(OR(K84="",L84=""),"",IF((IF(L84="Alto",3,IF(L84="Médio",2,1))-IF(K84="Alto",3,IF(K84="Médio",2,1)))=2,"⚡ Quick win",IF((IF(L84="Alto",3,IF(L84="Médio",2,1))-IF(K84="Alto",3,IF(K84="Médio",2,1)))=1,"🚀 Alto retorno",IF(AND(L84="Alto",K84="Alto"),"🎯 Estratégica",IF((IF(L84="Alto",3,IF(L84="Médio",2,1))-IF(K84="Alto",3,IF(K84="Médio",2,1)))=0,"⚖ Equilibrada","⏳ Baixo retorno")))))</f>
        <v/>
      </c>
      <c r="N84" s="102"/>
      <c r="O84" s="102"/>
      <c r="P84" s="103"/>
      <c r="Q84" s="102"/>
      <c r="R84" s="104"/>
      <c r="S84" s="102"/>
      <c r="T84" s="104"/>
      <c r="U84" s="102"/>
    </row>
    <row r="85" customFormat="false" ht="15" hidden="false" customHeight="false" outlineLevel="0" collapsed="false">
      <c r="A85" s="93" t="s">
        <v>1195</v>
      </c>
      <c r="B85" s="105"/>
      <c r="C85" s="105"/>
      <c r="D85" s="105"/>
      <c r="E85" s="105"/>
      <c r="F85" s="99" t="str">
        <f aca="false">IF(E85="","",IFERROR(INDEX('Fontes e Parcerias'!$C$5:$C$500,MATCH(IFERROR(LEFT(E85,FIND(" · ",E85)-1),E85),'Fontes e Parcerias'!$A$5:$A$500,0)),"Fonte não encontrada"))</f>
        <v/>
      </c>
      <c r="G85" s="106"/>
      <c r="H85" s="105"/>
      <c r="I85" s="105"/>
      <c r="J85" s="118"/>
      <c r="K85" s="106"/>
      <c r="L85" s="106"/>
      <c r="M85" s="99" t="str">
        <f aca="false">IF(OR(K85="",L85=""),"",IF((IF(L85="Alto",3,IF(L85="Médio",2,1))-IF(K85="Alto",3,IF(K85="Médio",2,1)))=2,"⚡ Quick win",IF((IF(L85="Alto",3,IF(L85="Médio",2,1))-IF(K85="Alto",3,IF(K85="Médio",2,1)))=1,"🚀 Alto retorno",IF(AND(L85="Alto",K85="Alto"),"🎯 Estratégica",IF((IF(L85="Alto",3,IF(L85="Médio",2,1))-IF(K85="Alto",3,IF(K85="Médio",2,1)))=0,"⚖ Equilibrada","⏳ Baixo retorno")))))</f>
        <v/>
      </c>
      <c r="N85" s="105"/>
      <c r="O85" s="105"/>
      <c r="P85" s="106"/>
      <c r="Q85" s="105"/>
      <c r="R85" s="107"/>
      <c r="S85" s="105"/>
      <c r="T85" s="107"/>
      <c r="U85" s="105"/>
    </row>
    <row r="86" customFormat="false" ht="15" hidden="false" customHeight="false" outlineLevel="0" collapsed="false">
      <c r="A86" s="101" t="s">
        <v>1196</v>
      </c>
      <c r="B86" s="102"/>
      <c r="C86" s="102"/>
      <c r="D86" s="102"/>
      <c r="E86" s="102"/>
      <c r="F86" s="99" t="str">
        <f aca="false">IF(E86="","",IFERROR(INDEX('Fontes e Parcerias'!$C$5:$C$500,MATCH(IFERROR(LEFT(E86,FIND(" · ",E86)-1),E86),'Fontes e Parcerias'!$A$5:$A$500,0)),"Fonte não encontrada"))</f>
        <v/>
      </c>
      <c r="G86" s="103"/>
      <c r="H86" s="102"/>
      <c r="I86" s="102"/>
      <c r="J86" s="117"/>
      <c r="K86" s="103"/>
      <c r="L86" s="103"/>
      <c r="M86" s="99" t="str">
        <f aca="false">IF(OR(K86="",L86=""),"",IF((IF(L86="Alto",3,IF(L86="Médio",2,1))-IF(K86="Alto",3,IF(K86="Médio",2,1)))=2,"⚡ Quick win",IF((IF(L86="Alto",3,IF(L86="Médio",2,1))-IF(K86="Alto",3,IF(K86="Médio",2,1)))=1,"🚀 Alto retorno",IF(AND(L86="Alto",K86="Alto"),"🎯 Estratégica",IF((IF(L86="Alto",3,IF(L86="Médio",2,1))-IF(K86="Alto",3,IF(K86="Médio",2,1)))=0,"⚖ Equilibrada","⏳ Baixo retorno")))))</f>
        <v/>
      </c>
      <c r="N86" s="102"/>
      <c r="O86" s="102"/>
      <c r="P86" s="103"/>
      <c r="Q86" s="102"/>
      <c r="R86" s="104"/>
      <c r="S86" s="102"/>
      <c r="T86" s="104"/>
      <c r="U86" s="102"/>
    </row>
    <row r="87" customFormat="false" ht="15" hidden="false" customHeight="false" outlineLevel="0" collapsed="false">
      <c r="A87" s="93" t="s">
        <v>1197</v>
      </c>
      <c r="B87" s="105"/>
      <c r="C87" s="105"/>
      <c r="D87" s="105"/>
      <c r="E87" s="105"/>
      <c r="F87" s="99" t="str">
        <f aca="false">IF(E87="","",IFERROR(INDEX('Fontes e Parcerias'!$C$5:$C$500,MATCH(IFERROR(LEFT(E87,FIND(" · ",E87)-1),E87),'Fontes e Parcerias'!$A$5:$A$500,0)),"Fonte não encontrada"))</f>
        <v/>
      </c>
      <c r="G87" s="106"/>
      <c r="H87" s="105"/>
      <c r="I87" s="105"/>
      <c r="J87" s="118"/>
      <c r="K87" s="106"/>
      <c r="L87" s="106"/>
      <c r="M87" s="99" t="str">
        <f aca="false">IF(OR(K87="",L87=""),"",IF((IF(L87="Alto",3,IF(L87="Médio",2,1))-IF(K87="Alto",3,IF(K87="Médio",2,1)))=2,"⚡ Quick win",IF((IF(L87="Alto",3,IF(L87="Médio",2,1))-IF(K87="Alto",3,IF(K87="Médio",2,1)))=1,"🚀 Alto retorno",IF(AND(L87="Alto",K87="Alto"),"🎯 Estratégica",IF((IF(L87="Alto",3,IF(L87="Médio",2,1))-IF(K87="Alto",3,IF(K87="Médio",2,1)))=0,"⚖ Equilibrada","⏳ Baixo retorno")))))</f>
        <v/>
      </c>
      <c r="N87" s="105"/>
      <c r="O87" s="105"/>
      <c r="P87" s="106"/>
      <c r="Q87" s="105"/>
      <c r="R87" s="107"/>
      <c r="S87" s="105"/>
      <c r="T87" s="107"/>
      <c r="U87" s="105"/>
    </row>
    <row r="88" customFormat="false" ht="15" hidden="false" customHeight="false" outlineLevel="0" collapsed="false">
      <c r="A88" s="101" t="s">
        <v>1198</v>
      </c>
      <c r="B88" s="102"/>
      <c r="C88" s="102"/>
      <c r="D88" s="102"/>
      <c r="E88" s="102"/>
      <c r="F88" s="99" t="str">
        <f aca="false">IF(E88="","",IFERROR(INDEX('Fontes e Parcerias'!$C$5:$C$500,MATCH(IFERROR(LEFT(E88,FIND(" · ",E88)-1),E88),'Fontes e Parcerias'!$A$5:$A$500,0)),"Fonte não encontrada"))</f>
        <v/>
      </c>
      <c r="G88" s="103"/>
      <c r="H88" s="102"/>
      <c r="I88" s="102"/>
      <c r="J88" s="117"/>
      <c r="K88" s="103"/>
      <c r="L88" s="103"/>
      <c r="M88" s="99" t="str">
        <f aca="false">IF(OR(K88="",L88=""),"",IF((IF(L88="Alto",3,IF(L88="Médio",2,1))-IF(K88="Alto",3,IF(K88="Médio",2,1)))=2,"⚡ Quick win",IF((IF(L88="Alto",3,IF(L88="Médio",2,1))-IF(K88="Alto",3,IF(K88="Médio",2,1)))=1,"🚀 Alto retorno",IF(AND(L88="Alto",K88="Alto"),"🎯 Estratégica",IF((IF(L88="Alto",3,IF(L88="Médio",2,1))-IF(K88="Alto",3,IF(K88="Médio",2,1)))=0,"⚖ Equilibrada","⏳ Baixo retorno")))))</f>
        <v/>
      </c>
      <c r="N88" s="102"/>
      <c r="O88" s="102"/>
      <c r="P88" s="103"/>
      <c r="Q88" s="102"/>
      <c r="R88" s="104"/>
      <c r="S88" s="102"/>
      <c r="T88" s="104"/>
      <c r="U88" s="102"/>
    </row>
    <row r="89" customFormat="false" ht="15" hidden="false" customHeight="false" outlineLevel="0" collapsed="false">
      <c r="A89" s="93" t="s">
        <v>1199</v>
      </c>
      <c r="B89" s="105"/>
      <c r="C89" s="105"/>
      <c r="D89" s="105"/>
      <c r="E89" s="105"/>
      <c r="F89" s="99" t="str">
        <f aca="false">IF(E89="","",IFERROR(INDEX('Fontes e Parcerias'!$C$5:$C$500,MATCH(IFERROR(LEFT(E89,FIND(" · ",E89)-1),E89),'Fontes e Parcerias'!$A$5:$A$500,0)),"Fonte não encontrada"))</f>
        <v/>
      </c>
      <c r="G89" s="106"/>
      <c r="H89" s="105"/>
      <c r="I89" s="105"/>
      <c r="J89" s="118"/>
      <c r="K89" s="106"/>
      <c r="L89" s="106"/>
      <c r="M89" s="99" t="str">
        <f aca="false">IF(OR(K89="",L89=""),"",IF((IF(L89="Alto",3,IF(L89="Médio",2,1))-IF(K89="Alto",3,IF(K89="Médio",2,1)))=2,"⚡ Quick win",IF((IF(L89="Alto",3,IF(L89="Médio",2,1))-IF(K89="Alto",3,IF(K89="Médio",2,1)))=1,"🚀 Alto retorno",IF(AND(L89="Alto",K89="Alto"),"🎯 Estratégica",IF((IF(L89="Alto",3,IF(L89="Médio",2,1))-IF(K89="Alto",3,IF(K89="Médio",2,1)))=0,"⚖ Equilibrada","⏳ Baixo retorno")))))</f>
        <v/>
      </c>
      <c r="N89" s="105"/>
      <c r="O89" s="105"/>
      <c r="P89" s="106"/>
      <c r="Q89" s="105"/>
      <c r="R89" s="107"/>
      <c r="S89" s="105"/>
      <c r="T89" s="107"/>
      <c r="U89" s="105"/>
    </row>
    <row r="90" customFormat="false" ht="15" hidden="false" customHeight="false" outlineLevel="0" collapsed="false">
      <c r="A90" s="101" t="s">
        <v>1200</v>
      </c>
      <c r="B90" s="102"/>
      <c r="C90" s="102"/>
      <c r="D90" s="102"/>
      <c r="E90" s="102"/>
      <c r="F90" s="99" t="str">
        <f aca="false">IF(E90="","",IFERROR(INDEX('Fontes e Parcerias'!$C$5:$C$500,MATCH(IFERROR(LEFT(E90,FIND(" · ",E90)-1),E90),'Fontes e Parcerias'!$A$5:$A$500,0)),"Fonte não encontrada"))</f>
        <v/>
      </c>
      <c r="G90" s="103"/>
      <c r="H90" s="102"/>
      <c r="I90" s="102"/>
      <c r="J90" s="117"/>
      <c r="K90" s="103"/>
      <c r="L90" s="103"/>
      <c r="M90" s="99" t="str">
        <f aca="false">IF(OR(K90="",L90=""),"",IF((IF(L90="Alto",3,IF(L90="Médio",2,1))-IF(K90="Alto",3,IF(K90="Médio",2,1)))=2,"⚡ Quick win",IF((IF(L90="Alto",3,IF(L90="Médio",2,1))-IF(K90="Alto",3,IF(K90="Médio",2,1)))=1,"🚀 Alto retorno",IF(AND(L90="Alto",K90="Alto"),"🎯 Estratégica",IF((IF(L90="Alto",3,IF(L90="Médio",2,1))-IF(K90="Alto",3,IF(K90="Médio",2,1)))=0,"⚖ Equilibrada","⏳ Baixo retorno")))))</f>
        <v/>
      </c>
      <c r="N90" s="102"/>
      <c r="O90" s="102"/>
      <c r="P90" s="103"/>
      <c r="Q90" s="102"/>
      <c r="R90" s="104"/>
      <c r="S90" s="102"/>
      <c r="T90" s="104"/>
      <c r="U90" s="102"/>
    </row>
    <row r="91" customFormat="false" ht="15" hidden="false" customHeight="false" outlineLevel="0" collapsed="false">
      <c r="A91" s="93" t="s">
        <v>1201</v>
      </c>
      <c r="B91" s="105"/>
      <c r="C91" s="105"/>
      <c r="D91" s="105"/>
      <c r="E91" s="105"/>
      <c r="F91" s="99" t="str">
        <f aca="false">IF(E91="","",IFERROR(INDEX('Fontes e Parcerias'!$C$5:$C$500,MATCH(IFERROR(LEFT(E91,FIND(" · ",E91)-1),E91),'Fontes e Parcerias'!$A$5:$A$500,0)),"Fonte não encontrada"))</f>
        <v/>
      </c>
      <c r="G91" s="106"/>
      <c r="H91" s="105"/>
      <c r="I91" s="105"/>
      <c r="J91" s="118"/>
      <c r="K91" s="106"/>
      <c r="L91" s="106"/>
      <c r="M91" s="99" t="str">
        <f aca="false">IF(OR(K91="",L91=""),"",IF((IF(L91="Alto",3,IF(L91="Médio",2,1))-IF(K91="Alto",3,IF(K91="Médio",2,1)))=2,"⚡ Quick win",IF((IF(L91="Alto",3,IF(L91="Médio",2,1))-IF(K91="Alto",3,IF(K91="Médio",2,1)))=1,"🚀 Alto retorno",IF(AND(L91="Alto",K91="Alto"),"🎯 Estratégica",IF((IF(L91="Alto",3,IF(L91="Médio",2,1))-IF(K91="Alto",3,IF(K91="Médio",2,1)))=0,"⚖ Equilibrada","⏳ Baixo retorno")))))</f>
        <v/>
      </c>
      <c r="N91" s="105"/>
      <c r="O91" s="105"/>
      <c r="P91" s="106"/>
      <c r="Q91" s="105"/>
      <c r="R91" s="107"/>
      <c r="S91" s="105"/>
      <c r="T91" s="107"/>
      <c r="U91" s="105"/>
    </row>
    <row r="92" customFormat="false" ht="15" hidden="false" customHeight="false" outlineLevel="0" collapsed="false">
      <c r="A92" s="101" t="s">
        <v>1202</v>
      </c>
      <c r="B92" s="102"/>
      <c r="C92" s="102"/>
      <c r="D92" s="102"/>
      <c r="E92" s="102"/>
      <c r="F92" s="99" t="str">
        <f aca="false">IF(E92="","",IFERROR(INDEX('Fontes e Parcerias'!$C$5:$C$500,MATCH(IFERROR(LEFT(E92,FIND(" · ",E92)-1),E92),'Fontes e Parcerias'!$A$5:$A$500,0)),"Fonte não encontrada"))</f>
        <v/>
      </c>
      <c r="G92" s="103"/>
      <c r="H92" s="102"/>
      <c r="I92" s="102"/>
      <c r="J92" s="117"/>
      <c r="K92" s="103"/>
      <c r="L92" s="103"/>
      <c r="M92" s="99" t="str">
        <f aca="false">IF(OR(K92="",L92=""),"",IF((IF(L92="Alto",3,IF(L92="Médio",2,1))-IF(K92="Alto",3,IF(K92="Médio",2,1)))=2,"⚡ Quick win",IF((IF(L92="Alto",3,IF(L92="Médio",2,1))-IF(K92="Alto",3,IF(K92="Médio",2,1)))=1,"🚀 Alto retorno",IF(AND(L92="Alto",K92="Alto"),"🎯 Estratégica",IF((IF(L92="Alto",3,IF(L92="Médio",2,1))-IF(K92="Alto",3,IF(K92="Médio",2,1)))=0,"⚖ Equilibrada","⏳ Baixo retorno")))))</f>
        <v/>
      </c>
      <c r="N92" s="102"/>
      <c r="O92" s="102"/>
      <c r="P92" s="103"/>
      <c r="Q92" s="102"/>
      <c r="R92" s="104"/>
      <c r="S92" s="102"/>
      <c r="T92" s="104"/>
      <c r="U92" s="102"/>
    </row>
    <row r="93" customFormat="false" ht="15" hidden="false" customHeight="false" outlineLevel="0" collapsed="false">
      <c r="A93" s="93" t="s">
        <v>1203</v>
      </c>
      <c r="B93" s="105"/>
      <c r="C93" s="105"/>
      <c r="D93" s="105"/>
      <c r="E93" s="105"/>
      <c r="F93" s="99" t="str">
        <f aca="false">IF(E93="","",IFERROR(INDEX('Fontes e Parcerias'!$C$5:$C$500,MATCH(IFERROR(LEFT(E93,FIND(" · ",E93)-1),E93),'Fontes e Parcerias'!$A$5:$A$500,0)),"Fonte não encontrada"))</f>
        <v/>
      </c>
      <c r="G93" s="106"/>
      <c r="H93" s="105"/>
      <c r="I93" s="105"/>
      <c r="J93" s="118"/>
      <c r="K93" s="106"/>
      <c r="L93" s="106"/>
      <c r="M93" s="99" t="str">
        <f aca="false">IF(OR(K93="",L93=""),"",IF((IF(L93="Alto",3,IF(L93="Médio",2,1))-IF(K93="Alto",3,IF(K93="Médio",2,1)))=2,"⚡ Quick win",IF((IF(L93="Alto",3,IF(L93="Médio",2,1))-IF(K93="Alto",3,IF(K93="Médio",2,1)))=1,"🚀 Alto retorno",IF(AND(L93="Alto",K93="Alto"),"🎯 Estratégica",IF((IF(L93="Alto",3,IF(L93="Médio",2,1))-IF(K93="Alto",3,IF(K93="Médio",2,1)))=0,"⚖ Equilibrada","⏳ Baixo retorno")))))</f>
        <v/>
      </c>
      <c r="N93" s="105"/>
      <c r="O93" s="105"/>
      <c r="P93" s="106"/>
      <c r="Q93" s="105"/>
      <c r="R93" s="107"/>
      <c r="S93" s="105"/>
      <c r="T93" s="107"/>
      <c r="U93" s="105"/>
    </row>
    <row r="94" customFormat="false" ht="15" hidden="false" customHeight="false" outlineLevel="0" collapsed="false">
      <c r="A94" s="101" t="s">
        <v>1204</v>
      </c>
      <c r="B94" s="102"/>
      <c r="C94" s="102"/>
      <c r="D94" s="102"/>
      <c r="E94" s="102"/>
      <c r="F94" s="99" t="str">
        <f aca="false">IF(E94="","",IFERROR(INDEX('Fontes e Parcerias'!$C$5:$C$500,MATCH(IFERROR(LEFT(E94,FIND(" · ",E94)-1),E94),'Fontes e Parcerias'!$A$5:$A$500,0)),"Fonte não encontrada"))</f>
        <v/>
      </c>
      <c r="G94" s="103"/>
      <c r="H94" s="102"/>
      <c r="I94" s="102"/>
      <c r="J94" s="117"/>
      <c r="K94" s="103"/>
      <c r="L94" s="103"/>
      <c r="M94" s="99" t="str">
        <f aca="false">IF(OR(K94="",L94=""),"",IF((IF(L94="Alto",3,IF(L94="Médio",2,1))-IF(K94="Alto",3,IF(K94="Médio",2,1)))=2,"⚡ Quick win",IF((IF(L94="Alto",3,IF(L94="Médio",2,1))-IF(K94="Alto",3,IF(K94="Médio",2,1)))=1,"🚀 Alto retorno",IF(AND(L94="Alto",K94="Alto"),"🎯 Estratégica",IF((IF(L94="Alto",3,IF(L94="Médio",2,1))-IF(K94="Alto",3,IF(K94="Médio",2,1)))=0,"⚖ Equilibrada","⏳ Baixo retorno")))))</f>
        <v/>
      </c>
      <c r="N94" s="102"/>
      <c r="O94" s="102"/>
      <c r="P94" s="103"/>
      <c r="Q94" s="102"/>
      <c r="R94" s="104"/>
      <c r="S94" s="102"/>
      <c r="T94" s="104"/>
      <c r="U94" s="102"/>
    </row>
    <row r="95" customFormat="false" ht="15" hidden="false" customHeight="false" outlineLevel="0" collapsed="false">
      <c r="A95" s="93" t="s">
        <v>1205</v>
      </c>
      <c r="B95" s="105"/>
      <c r="C95" s="105"/>
      <c r="D95" s="105"/>
      <c r="E95" s="105"/>
      <c r="F95" s="99" t="str">
        <f aca="false">IF(E95="","",IFERROR(INDEX('Fontes e Parcerias'!$C$5:$C$500,MATCH(IFERROR(LEFT(E95,FIND(" · ",E95)-1),E95),'Fontes e Parcerias'!$A$5:$A$500,0)),"Fonte não encontrada"))</f>
        <v/>
      </c>
      <c r="G95" s="106"/>
      <c r="H95" s="105"/>
      <c r="I95" s="105"/>
      <c r="J95" s="118"/>
      <c r="K95" s="106"/>
      <c r="L95" s="106"/>
      <c r="M95" s="99" t="str">
        <f aca="false">IF(OR(K95="",L95=""),"",IF((IF(L95="Alto",3,IF(L95="Médio",2,1))-IF(K95="Alto",3,IF(K95="Médio",2,1)))=2,"⚡ Quick win",IF((IF(L95="Alto",3,IF(L95="Médio",2,1))-IF(K95="Alto",3,IF(K95="Médio",2,1)))=1,"🚀 Alto retorno",IF(AND(L95="Alto",K95="Alto"),"🎯 Estratégica",IF((IF(L95="Alto",3,IF(L95="Médio",2,1))-IF(K95="Alto",3,IF(K95="Médio",2,1)))=0,"⚖ Equilibrada","⏳ Baixo retorno")))))</f>
        <v/>
      </c>
      <c r="N95" s="105"/>
      <c r="O95" s="105"/>
      <c r="P95" s="106"/>
      <c r="Q95" s="105"/>
      <c r="R95" s="107"/>
      <c r="S95" s="105"/>
      <c r="T95" s="107"/>
      <c r="U95" s="105"/>
    </row>
    <row r="96" customFormat="false" ht="15" hidden="false" customHeight="false" outlineLevel="0" collapsed="false">
      <c r="A96" s="101" t="s">
        <v>1206</v>
      </c>
      <c r="B96" s="102"/>
      <c r="C96" s="102"/>
      <c r="D96" s="102"/>
      <c r="E96" s="102"/>
      <c r="F96" s="99" t="str">
        <f aca="false">IF(E96="","",IFERROR(INDEX('Fontes e Parcerias'!$C$5:$C$500,MATCH(IFERROR(LEFT(E96,FIND(" · ",E96)-1),E96),'Fontes e Parcerias'!$A$5:$A$500,0)),"Fonte não encontrada"))</f>
        <v/>
      </c>
      <c r="G96" s="103"/>
      <c r="H96" s="102"/>
      <c r="I96" s="102"/>
      <c r="J96" s="117"/>
      <c r="K96" s="103"/>
      <c r="L96" s="103"/>
      <c r="M96" s="99" t="str">
        <f aca="false">IF(OR(K96="",L96=""),"",IF((IF(L96="Alto",3,IF(L96="Médio",2,1))-IF(K96="Alto",3,IF(K96="Médio",2,1)))=2,"⚡ Quick win",IF((IF(L96="Alto",3,IF(L96="Médio",2,1))-IF(K96="Alto",3,IF(K96="Médio",2,1)))=1,"🚀 Alto retorno",IF(AND(L96="Alto",K96="Alto"),"🎯 Estratégica",IF((IF(L96="Alto",3,IF(L96="Médio",2,1))-IF(K96="Alto",3,IF(K96="Médio",2,1)))=0,"⚖ Equilibrada","⏳ Baixo retorno")))))</f>
        <v/>
      </c>
      <c r="N96" s="102"/>
      <c r="O96" s="102"/>
      <c r="P96" s="103"/>
      <c r="Q96" s="102"/>
      <c r="R96" s="104"/>
      <c r="S96" s="102"/>
      <c r="T96" s="104"/>
      <c r="U96" s="102"/>
    </row>
    <row r="97" customFormat="false" ht="15" hidden="false" customHeight="false" outlineLevel="0" collapsed="false">
      <c r="A97" s="93" t="s">
        <v>1207</v>
      </c>
      <c r="B97" s="105"/>
      <c r="C97" s="105"/>
      <c r="D97" s="105"/>
      <c r="E97" s="105"/>
      <c r="F97" s="99" t="str">
        <f aca="false">IF(E97="","",IFERROR(INDEX('Fontes e Parcerias'!$C$5:$C$500,MATCH(IFERROR(LEFT(E97,FIND(" · ",E97)-1),E97),'Fontes e Parcerias'!$A$5:$A$500,0)),"Fonte não encontrada"))</f>
        <v/>
      </c>
      <c r="G97" s="106"/>
      <c r="H97" s="105"/>
      <c r="I97" s="105"/>
      <c r="J97" s="118"/>
      <c r="K97" s="106"/>
      <c r="L97" s="106"/>
      <c r="M97" s="99" t="str">
        <f aca="false">IF(OR(K97="",L97=""),"",IF((IF(L97="Alto",3,IF(L97="Médio",2,1))-IF(K97="Alto",3,IF(K97="Médio",2,1)))=2,"⚡ Quick win",IF((IF(L97="Alto",3,IF(L97="Médio",2,1))-IF(K97="Alto",3,IF(K97="Médio",2,1)))=1,"🚀 Alto retorno",IF(AND(L97="Alto",K97="Alto"),"🎯 Estratégica",IF((IF(L97="Alto",3,IF(L97="Médio",2,1))-IF(K97="Alto",3,IF(K97="Médio",2,1)))=0,"⚖ Equilibrada","⏳ Baixo retorno")))))</f>
        <v/>
      </c>
      <c r="N97" s="105"/>
      <c r="O97" s="105"/>
      <c r="P97" s="106"/>
      <c r="Q97" s="105"/>
      <c r="R97" s="107"/>
      <c r="S97" s="105"/>
      <c r="T97" s="107"/>
      <c r="U97" s="105"/>
    </row>
    <row r="98" customFormat="false" ht="15" hidden="false" customHeight="false" outlineLevel="0" collapsed="false">
      <c r="A98" s="101" t="s">
        <v>1208</v>
      </c>
      <c r="B98" s="102"/>
      <c r="C98" s="102"/>
      <c r="D98" s="102"/>
      <c r="E98" s="102"/>
      <c r="F98" s="99" t="str">
        <f aca="false">IF(E98="","",IFERROR(INDEX('Fontes e Parcerias'!$C$5:$C$500,MATCH(IFERROR(LEFT(E98,FIND(" · ",E98)-1),E98),'Fontes e Parcerias'!$A$5:$A$500,0)),"Fonte não encontrada"))</f>
        <v/>
      </c>
      <c r="G98" s="103"/>
      <c r="H98" s="102"/>
      <c r="I98" s="102"/>
      <c r="J98" s="117"/>
      <c r="K98" s="103"/>
      <c r="L98" s="103"/>
      <c r="M98" s="99" t="str">
        <f aca="false">IF(OR(K98="",L98=""),"",IF((IF(L98="Alto",3,IF(L98="Médio",2,1))-IF(K98="Alto",3,IF(K98="Médio",2,1)))=2,"⚡ Quick win",IF((IF(L98="Alto",3,IF(L98="Médio",2,1))-IF(K98="Alto",3,IF(K98="Médio",2,1)))=1,"🚀 Alto retorno",IF(AND(L98="Alto",K98="Alto"),"🎯 Estratégica",IF((IF(L98="Alto",3,IF(L98="Médio",2,1))-IF(K98="Alto",3,IF(K98="Médio",2,1)))=0,"⚖ Equilibrada","⏳ Baixo retorno")))))</f>
        <v/>
      </c>
      <c r="N98" s="102"/>
      <c r="O98" s="102"/>
      <c r="P98" s="103"/>
      <c r="Q98" s="102"/>
      <c r="R98" s="104"/>
      <c r="S98" s="102"/>
      <c r="T98" s="104"/>
      <c r="U98" s="102"/>
    </row>
    <row r="99" customFormat="false" ht="15" hidden="false" customHeight="false" outlineLevel="0" collapsed="false">
      <c r="A99" s="93" t="s">
        <v>1209</v>
      </c>
      <c r="B99" s="105"/>
      <c r="C99" s="105"/>
      <c r="D99" s="105"/>
      <c r="E99" s="105"/>
      <c r="F99" s="99" t="str">
        <f aca="false">IF(E99="","",IFERROR(INDEX('Fontes e Parcerias'!$C$5:$C$500,MATCH(IFERROR(LEFT(E99,FIND(" · ",E99)-1),E99),'Fontes e Parcerias'!$A$5:$A$500,0)),"Fonte não encontrada"))</f>
        <v/>
      </c>
      <c r="G99" s="106"/>
      <c r="H99" s="105"/>
      <c r="I99" s="105"/>
      <c r="J99" s="118"/>
      <c r="K99" s="106"/>
      <c r="L99" s="106"/>
      <c r="M99" s="99" t="str">
        <f aca="false">IF(OR(K99="",L99=""),"",IF((IF(L99="Alto",3,IF(L99="Médio",2,1))-IF(K99="Alto",3,IF(K99="Médio",2,1)))=2,"⚡ Quick win",IF((IF(L99="Alto",3,IF(L99="Médio",2,1))-IF(K99="Alto",3,IF(K99="Médio",2,1)))=1,"🚀 Alto retorno",IF(AND(L99="Alto",K99="Alto"),"🎯 Estratégica",IF((IF(L99="Alto",3,IF(L99="Médio",2,1))-IF(K99="Alto",3,IF(K99="Médio",2,1)))=0,"⚖ Equilibrada","⏳ Baixo retorno")))))</f>
        <v/>
      </c>
      <c r="N99" s="105"/>
      <c r="O99" s="105"/>
      <c r="P99" s="106"/>
      <c r="Q99" s="105"/>
      <c r="R99" s="107"/>
      <c r="S99" s="105"/>
      <c r="T99" s="107"/>
      <c r="U99" s="105"/>
    </row>
    <row r="100" customFormat="false" ht="15" hidden="false" customHeight="false" outlineLevel="0" collapsed="false">
      <c r="A100" s="101" t="s">
        <v>1210</v>
      </c>
      <c r="B100" s="102"/>
      <c r="C100" s="102"/>
      <c r="D100" s="102"/>
      <c r="E100" s="102"/>
      <c r="F100" s="99" t="str">
        <f aca="false">IF(E100="","",IFERROR(INDEX('Fontes e Parcerias'!$C$5:$C$500,MATCH(IFERROR(LEFT(E100,FIND(" · ",E100)-1),E100),'Fontes e Parcerias'!$A$5:$A$500,0)),"Fonte não encontrada"))</f>
        <v/>
      </c>
      <c r="G100" s="103"/>
      <c r="H100" s="102"/>
      <c r="I100" s="102"/>
      <c r="J100" s="117"/>
      <c r="K100" s="103"/>
      <c r="L100" s="103"/>
      <c r="M100" s="99" t="str">
        <f aca="false">IF(OR(K100="",L100=""),"",IF((IF(L100="Alto",3,IF(L100="Médio",2,1))-IF(K100="Alto",3,IF(K100="Médio",2,1)))=2,"⚡ Quick win",IF((IF(L100="Alto",3,IF(L100="Médio",2,1))-IF(K100="Alto",3,IF(K100="Médio",2,1)))=1,"🚀 Alto retorno",IF(AND(L100="Alto",K100="Alto"),"🎯 Estratégica",IF((IF(L100="Alto",3,IF(L100="Médio",2,1))-IF(K100="Alto",3,IF(K100="Médio",2,1)))=0,"⚖ Equilibrada","⏳ Baixo retorno")))))</f>
        <v/>
      </c>
      <c r="N100" s="102"/>
      <c r="O100" s="102"/>
      <c r="P100" s="103"/>
      <c r="Q100" s="102"/>
      <c r="R100" s="104"/>
      <c r="S100" s="102"/>
      <c r="T100" s="104"/>
      <c r="U100" s="102"/>
    </row>
    <row r="101" customFormat="false" ht="15" hidden="false" customHeight="false" outlineLevel="0" collapsed="false">
      <c r="A101" s="93" t="s">
        <v>1211</v>
      </c>
      <c r="B101" s="105"/>
      <c r="C101" s="105"/>
      <c r="D101" s="105"/>
      <c r="E101" s="105"/>
      <c r="F101" s="99" t="str">
        <f aca="false">IF(E101="","",IFERROR(INDEX('Fontes e Parcerias'!$C$5:$C$500,MATCH(IFERROR(LEFT(E101,FIND(" · ",E101)-1),E101),'Fontes e Parcerias'!$A$5:$A$500,0)),"Fonte não encontrada"))</f>
        <v/>
      </c>
      <c r="G101" s="106"/>
      <c r="H101" s="105"/>
      <c r="I101" s="105"/>
      <c r="J101" s="118"/>
      <c r="K101" s="106"/>
      <c r="L101" s="106"/>
      <c r="M101" s="99" t="str">
        <f aca="false">IF(OR(K101="",L101=""),"",IF((IF(L101="Alto",3,IF(L101="Médio",2,1))-IF(K101="Alto",3,IF(K101="Médio",2,1)))=2,"⚡ Quick win",IF((IF(L101="Alto",3,IF(L101="Médio",2,1))-IF(K101="Alto",3,IF(K101="Médio",2,1)))=1,"🚀 Alto retorno",IF(AND(L101="Alto",K101="Alto"),"🎯 Estratégica",IF((IF(L101="Alto",3,IF(L101="Médio",2,1))-IF(K101="Alto",3,IF(K101="Médio",2,1)))=0,"⚖ Equilibrada","⏳ Baixo retorno")))))</f>
        <v/>
      </c>
      <c r="N101" s="105"/>
      <c r="O101" s="105"/>
      <c r="P101" s="106"/>
      <c r="Q101" s="105"/>
      <c r="R101" s="107"/>
      <c r="S101" s="105"/>
      <c r="T101" s="107"/>
      <c r="U101" s="105"/>
    </row>
    <row r="102" customFormat="false" ht="15" hidden="false" customHeight="false" outlineLevel="0" collapsed="false">
      <c r="A102" s="101" t="s">
        <v>1212</v>
      </c>
      <c r="B102" s="102"/>
      <c r="C102" s="102"/>
      <c r="D102" s="102"/>
      <c r="E102" s="102"/>
      <c r="F102" s="99" t="str">
        <f aca="false">IF(E102="","",IFERROR(INDEX('Fontes e Parcerias'!$C$5:$C$500,MATCH(IFERROR(LEFT(E102,FIND(" · ",E102)-1),E102),'Fontes e Parcerias'!$A$5:$A$500,0)),"Fonte não encontrada"))</f>
        <v/>
      </c>
      <c r="G102" s="103"/>
      <c r="H102" s="102"/>
      <c r="I102" s="102"/>
      <c r="J102" s="117"/>
      <c r="K102" s="103"/>
      <c r="L102" s="103"/>
      <c r="M102" s="99" t="str">
        <f aca="false">IF(OR(K102="",L102=""),"",IF((IF(L102="Alto",3,IF(L102="Médio",2,1))-IF(K102="Alto",3,IF(K102="Médio",2,1)))=2,"⚡ Quick win",IF((IF(L102="Alto",3,IF(L102="Médio",2,1))-IF(K102="Alto",3,IF(K102="Médio",2,1)))=1,"🚀 Alto retorno",IF(AND(L102="Alto",K102="Alto"),"🎯 Estratégica",IF((IF(L102="Alto",3,IF(L102="Médio",2,1))-IF(K102="Alto",3,IF(K102="Médio",2,1)))=0,"⚖ Equilibrada","⏳ Baixo retorno")))))</f>
        <v/>
      </c>
      <c r="N102" s="102"/>
      <c r="O102" s="102"/>
      <c r="P102" s="103"/>
      <c r="Q102" s="102"/>
      <c r="R102" s="104"/>
      <c r="S102" s="102"/>
      <c r="T102" s="104"/>
      <c r="U102" s="102"/>
    </row>
    <row r="103" customFormat="false" ht="15" hidden="false" customHeight="false" outlineLevel="0" collapsed="false">
      <c r="A103" s="93" t="s">
        <v>1213</v>
      </c>
      <c r="B103" s="105"/>
      <c r="C103" s="105"/>
      <c r="D103" s="105"/>
      <c r="E103" s="105"/>
      <c r="F103" s="99" t="str">
        <f aca="false">IF(E103="","",IFERROR(INDEX('Fontes e Parcerias'!$C$5:$C$500,MATCH(IFERROR(LEFT(E103,FIND(" · ",E103)-1),E103),'Fontes e Parcerias'!$A$5:$A$500,0)),"Fonte não encontrada"))</f>
        <v/>
      </c>
      <c r="G103" s="106"/>
      <c r="H103" s="105"/>
      <c r="I103" s="105"/>
      <c r="J103" s="118"/>
      <c r="K103" s="106"/>
      <c r="L103" s="106"/>
      <c r="M103" s="99" t="str">
        <f aca="false">IF(OR(K103="",L103=""),"",IF((IF(L103="Alto",3,IF(L103="Médio",2,1))-IF(K103="Alto",3,IF(K103="Médio",2,1)))=2,"⚡ Quick win",IF((IF(L103="Alto",3,IF(L103="Médio",2,1))-IF(K103="Alto",3,IF(K103="Médio",2,1)))=1,"🚀 Alto retorno",IF(AND(L103="Alto",K103="Alto"),"🎯 Estratégica",IF((IF(L103="Alto",3,IF(L103="Médio",2,1))-IF(K103="Alto",3,IF(K103="Médio",2,1)))=0,"⚖ Equilibrada","⏳ Baixo retorno")))))</f>
        <v/>
      </c>
      <c r="N103" s="105"/>
      <c r="O103" s="105"/>
      <c r="P103" s="106"/>
      <c r="Q103" s="105"/>
      <c r="R103" s="107"/>
      <c r="S103" s="105"/>
      <c r="T103" s="107"/>
      <c r="U103" s="105"/>
    </row>
    <row r="104" customFormat="false" ht="15" hidden="false" customHeight="false" outlineLevel="0" collapsed="false">
      <c r="A104" s="101" t="s">
        <v>1214</v>
      </c>
      <c r="B104" s="102"/>
      <c r="C104" s="102"/>
      <c r="D104" s="102"/>
      <c r="E104" s="102"/>
      <c r="F104" s="99" t="str">
        <f aca="false">IF(E104="","",IFERROR(INDEX('Fontes e Parcerias'!$C$5:$C$500,MATCH(IFERROR(LEFT(E104,FIND(" · ",E104)-1),E104),'Fontes e Parcerias'!$A$5:$A$500,0)),"Fonte não encontrada"))</f>
        <v/>
      </c>
      <c r="G104" s="103"/>
      <c r="H104" s="102"/>
      <c r="I104" s="102"/>
      <c r="J104" s="117"/>
      <c r="K104" s="103"/>
      <c r="L104" s="103"/>
      <c r="M104" s="99" t="str">
        <f aca="false">IF(OR(K104="",L104=""),"",IF((IF(L104="Alto",3,IF(L104="Médio",2,1))-IF(K104="Alto",3,IF(K104="Médio",2,1)))=2,"⚡ Quick win",IF((IF(L104="Alto",3,IF(L104="Médio",2,1))-IF(K104="Alto",3,IF(K104="Médio",2,1)))=1,"🚀 Alto retorno",IF(AND(L104="Alto",K104="Alto"),"🎯 Estratégica",IF((IF(L104="Alto",3,IF(L104="Médio",2,1))-IF(K104="Alto",3,IF(K104="Médio",2,1)))=0,"⚖ Equilibrada","⏳ Baixo retorno")))))</f>
        <v/>
      </c>
      <c r="N104" s="102"/>
      <c r="O104" s="102"/>
      <c r="P104" s="103"/>
      <c r="Q104" s="102"/>
      <c r="R104" s="104"/>
      <c r="S104" s="102"/>
      <c r="T104" s="104"/>
      <c r="U104" s="102"/>
    </row>
  </sheetData>
  <autoFilter ref="A4:U104"/>
  <mergeCells count="7">
    <mergeCell ref="A3:D3"/>
    <mergeCell ref="E3:G3"/>
    <mergeCell ref="H3:J3"/>
    <mergeCell ref="K3:M3"/>
    <mergeCell ref="N3:O3"/>
    <mergeCell ref="P3:R3"/>
    <mergeCell ref="S3:U3"/>
  </mergeCells>
  <conditionalFormatting sqref="A5:A500">
    <cfRule type="expression" priority="2" aboveAverage="0" equalAverage="0" bottom="0" percent="0" rank="0" text="" dxfId="13">
      <formula>$B5&lt;&gt;""</formula>
    </cfRule>
  </conditionalFormatting>
  <conditionalFormatting sqref="P5:P500">
    <cfRule type="expression" priority="3" aboveAverage="0" equalAverage="0" bottom="0" percent="0" rank="0" text="" dxfId="14">
      <formula>$P5="Implantada"</formula>
    </cfRule>
    <cfRule type="expression" priority="4" aboveAverage="0" equalAverage="0" bottom="0" percent="0" rank="0" text="" dxfId="15">
      <formula>$P5="Em implantação"</formula>
    </cfRule>
    <cfRule type="expression" priority="5" aboveAverage="0" equalAverage="0" bottom="0" percent="0" rank="0" text="" dxfId="16">
      <formula>$P5="Aprovada"</formula>
    </cfRule>
    <cfRule type="expression" priority="6" aboveAverage="0" equalAverage="0" bottom="0" percent="0" rank="0" text="" dxfId="17">
      <formula>$P5="Em análise"</formula>
    </cfRule>
    <cfRule type="expression" priority="7" aboveAverage="0" equalAverage="0" bottom="0" percent="0" rank="0" text="" dxfId="31">
      <formula>$P5="Ideia"</formula>
    </cfRule>
    <cfRule type="expression" priority="8" aboveAverage="0" equalAverage="0" bottom="0" percent="0" rank="0" text="" dxfId="18">
      <formula>$P5="Descartada"</formula>
    </cfRule>
  </conditionalFormatting>
  <conditionalFormatting sqref="M5:M500">
    <cfRule type="expression" priority="9" aboveAverage="0" equalAverage="0" bottom="0" percent="0" rank="0" text="" dxfId="14">
      <formula>ISNUMBER(SEARCH("Quick win",$M5))</formula>
    </cfRule>
    <cfRule type="expression" priority="10" aboveAverage="0" equalAverage="0" bottom="0" percent="0" rank="0" text="" dxfId="29">
      <formula>ISNUMBER(SEARCH("Alto retorno",$M5))</formula>
    </cfRule>
    <cfRule type="expression" priority="11" aboveAverage="0" equalAverage="0" bottom="0" percent="0" rank="0" text="" dxfId="34">
      <formula>ISNUMBER(SEARCH("Estratégica",$M5))</formula>
    </cfRule>
    <cfRule type="expression" priority="12" aboveAverage="0" equalAverage="0" bottom="0" percent="0" rank="0" text="" dxfId="28">
      <formula>ISNUMBER(SEARCH("Equilibrada",$M5))</formula>
    </cfRule>
    <cfRule type="expression" priority="13" aboveAverage="0" equalAverage="0" bottom="0" percent="0" rank="0" text="" dxfId="35">
      <formula>ISNUMBER(SEARCH("Baixo retorno",$M5))</formula>
    </cfRule>
  </conditionalFormatting>
  <conditionalFormatting sqref="K5:K500">
    <cfRule type="expression" priority="14" aboveAverage="0" equalAverage="0" bottom="0" percent="0" rank="0" text="" dxfId="16">
      <formula>$K5="Baixo"</formula>
    </cfRule>
    <cfRule type="expression" priority="15" aboveAverage="0" equalAverage="0" bottom="0" percent="0" rank="0" text="" dxfId="17">
      <formula>$K5="Médio"</formula>
    </cfRule>
    <cfRule type="expression" priority="16" aboveAverage="0" equalAverage="0" bottom="0" percent="0" rank="0" text="" dxfId="30">
      <formula>$K5="Alto"</formula>
    </cfRule>
  </conditionalFormatting>
  <conditionalFormatting sqref="L5:L500">
    <cfRule type="expression" priority="17" aboveAverage="0" equalAverage="0" bottom="0" percent="0" rank="0" text="" dxfId="16">
      <formula>$L5="Alto"</formula>
    </cfRule>
    <cfRule type="expression" priority="18" aboveAverage="0" equalAverage="0" bottom="0" percent="0" rank="0" text="" dxfId="17">
      <formula>$L5="Médio"</formula>
    </cfRule>
    <cfRule type="expression" priority="19" aboveAverage="0" equalAverage="0" bottom="0" percent="0" rank="0" text="" dxfId="36">
      <formula>$L5="Baixo"</formula>
    </cfRule>
  </conditionalFormatting>
  <conditionalFormatting sqref="F5:F500">
    <cfRule type="expression" priority="20" aboveAverage="0" equalAverage="0" bottom="0" percent="0" rank="0" text="" dxfId="0">
      <formula>$F5="Fonte não encontrada"</formula>
    </cfRule>
  </conditionalFormatting>
  <conditionalFormatting sqref="R5:R500">
    <cfRule type="expression" priority="21" aboveAverage="0" equalAverage="0" bottom="0" percent="0" rank="0" text="" dxfId="0">
      <formula>AND($R5&lt;&gt;"",$R5&lt;TODAY(),$P5&lt;&gt;"Implantada",$P5&lt;&gt;"Descartada")</formula>
    </cfRule>
  </conditionalFormatting>
  <dataValidations count="8">
    <dataValidation allowBlank="true" error="Digite uma data válida no formato dd/mm/aaaa." errorStyle="stop" errorTitle="Data inválida" operator="greaterThan" showDropDown="false" showErrorMessage="true" showInputMessage="false" sqref="R5:R500 T5:T500" type="date">
      <formula1>36526</formula1>
      <formula2>0</formula2>
    </dataValidation>
    <dataValidation allowBlank="true" error="Digite um valor numérico maior ou igual a zero (ex.: 350 ou 0)." errorStyle="stop" errorTitle="Valor inválido" operator="greaterThanOrEqual" showDropDown="false" showErrorMessage="true" showInputMessage="false" sqref="J5:J500" type="decimal">
      <formula1>0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C5:C500" type="list">
      <formula1>lst_Prob_FEI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lst_Fontes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G5:G500" type="list">
      <formula1>lst_ComoDescobrimos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K5:K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P5:P500" type="list">
      <formula1>lst_StatusSolucao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9B"/>
    <pageSetUpPr fitToPage="true"/>
  </sheetPr>
  <dimension ref="A1:R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.51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5" min="5" style="0" width="17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34"/>
    <col collapsed="false" customWidth="true" hidden="false" outlineLevel="0" max="12" min="12" style="0" width="22"/>
    <col collapsed="false" customWidth="true" hidden="false" outlineLevel="0" max="13" min="13" style="0" width="17"/>
    <col collapsed="false" customWidth="true" hidden="false" outlineLevel="0" max="15" min="14" style="0" width="12"/>
    <col collapsed="false" customWidth="true" hidden="false" outlineLevel="0" max="16" min="16" style="0" width="17"/>
    <col collapsed="false" customWidth="true" hidden="false" outlineLevel="0" max="17" min="17" style="0" width="34"/>
    <col collapsed="false" customWidth="true" hidden="true" outlineLevel="1" max="18" min="18" style="0" width="30"/>
  </cols>
  <sheetData>
    <row r="1" customFormat="false" ht="31.5" hidden="false" customHeight="true" outlineLevel="0" collapsed="false">
      <c r="A1" s="83" t="s">
        <v>1215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127" t="s">
        <v>70</v>
      </c>
      <c r="B2" s="128" t="str">
        <f aca="false">"Problemas que o CEMP tem ou pode ter em: Inova (hackathons)   ·   "&amp;COUNTA(B5:B500)&amp;" registro(s)"</f>
        <v>Problemas que o CEMP tem ou pode ter em: Inova (hackathons)   ·   1 registro(s)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</row>
    <row r="3" customFormat="false" ht="16.5" hidden="false" customHeight="true" outlineLevel="0" collapsed="false">
      <c r="A3" s="87" t="s">
        <v>520</v>
      </c>
      <c r="B3" s="87"/>
      <c r="C3" s="87"/>
      <c r="D3" s="87"/>
      <c r="E3" s="87"/>
      <c r="F3" s="87"/>
      <c r="G3" s="88" t="s">
        <v>521</v>
      </c>
      <c r="H3" s="88"/>
      <c r="I3" s="88"/>
      <c r="J3" s="88"/>
      <c r="K3" s="89" t="s">
        <v>522</v>
      </c>
      <c r="L3" s="89"/>
      <c r="M3" s="89"/>
      <c r="N3" s="89"/>
      <c r="O3" s="90" t="s">
        <v>523</v>
      </c>
      <c r="P3" s="90"/>
      <c r="Q3" s="90"/>
      <c r="R3" s="90"/>
    </row>
    <row r="4" customFormat="false" ht="42" hidden="false" customHeight="true" outlineLevel="0" collapsed="false">
      <c r="A4" s="130" t="s">
        <v>118</v>
      </c>
      <c r="B4" s="130" t="s">
        <v>524</v>
      </c>
      <c r="C4" s="130" t="s">
        <v>525</v>
      </c>
      <c r="D4" s="130" t="s">
        <v>526</v>
      </c>
      <c r="E4" s="130" t="s">
        <v>527</v>
      </c>
      <c r="F4" s="130" t="s">
        <v>528</v>
      </c>
      <c r="G4" s="130" t="s">
        <v>529</v>
      </c>
      <c r="H4" s="130" t="s">
        <v>530</v>
      </c>
      <c r="I4" s="92" t="s">
        <v>531</v>
      </c>
      <c r="J4" s="92" t="s">
        <v>532</v>
      </c>
      <c r="K4" s="130" t="s">
        <v>533</v>
      </c>
      <c r="L4" s="130" t="s">
        <v>534</v>
      </c>
      <c r="M4" s="130" t="s">
        <v>97</v>
      </c>
      <c r="N4" s="92" t="s">
        <v>535</v>
      </c>
      <c r="O4" s="130" t="s">
        <v>536</v>
      </c>
      <c r="P4" s="130" t="s">
        <v>537</v>
      </c>
      <c r="Q4" s="130" t="s">
        <v>538</v>
      </c>
      <c r="R4" s="92" t="s">
        <v>136</v>
      </c>
    </row>
    <row r="5" customFormat="false" ht="28.35" hidden="false" customHeight="false" outlineLevel="0" collapsed="false">
      <c r="A5" s="93" t="s">
        <v>1216</v>
      </c>
      <c r="B5" s="94" t="s">
        <v>1217</v>
      </c>
      <c r="C5" s="94" t="s">
        <v>1218</v>
      </c>
      <c r="D5" s="94" t="s">
        <v>1219</v>
      </c>
      <c r="E5" s="95" t="s">
        <v>1220</v>
      </c>
      <c r="F5" s="94" t="s">
        <v>1221</v>
      </c>
      <c r="G5" s="95" t="n">
        <v>3</v>
      </c>
      <c r="H5" s="95" t="n">
        <v>4</v>
      </c>
      <c r="I5" s="96" t="n">
        <f aca="false">IF(OR(G5="",H5=""),"",G5*H5)</f>
        <v>12</v>
      </c>
      <c r="J5" s="99" t="str">
        <f aca="false">IF(I5="","",IF(I5&gt;=15,"Crítica",IF(I5&gt;=9,"Alta",IF(I5&gt;=4,"Média","Baixa"))))</f>
        <v>Alta</v>
      </c>
      <c r="K5" s="94" t="s">
        <v>1222</v>
      </c>
      <c r="L5" s="94" t="s">
        <v>1223</v>
      </c>
      <c r="M5" s="95" t="s">
        <v>1008</v>
      </c>
      <c r="N5" s="96" t="n">
        <f aca="false">IF(B5="","",COUNTIF('Inova - Soluções'!$C$5:$C$500,A5&amp;"*"))</f>
        <v>1</v>
      </c>
      <c r="O5" s="98" t="n">
        <v>46293</v>
      </c>
      <c r="P5" s="94" t="s">
        <v>547</v>
      </c>
      <c r="Q5" s="94" t="s">
        <v>548</v>
      </c>
      <c r="R5" s="100" t="str">
        <f aca="false">IF(B5="","",A5&amp;" · "&amp;B5)</f>
        <v>INO-P001 · [EXEMPLO] Baixa continuidade dos projetos após o hackathon</v>
      </c>
    </row>
    <row r="6" customFormat="false" ht="15" hidden="false" customHeight="false" outlineLevel="0" collapsed="false">
      <c r="A6" s="101" t="s">
        <v>1224</v>
      </c>
      <c r="B6" s="102"/>
      <c r="C6" s="102"/>
      <c r="D6" s="102"/>
      <c r="E6" s="103"/>
      <c r="F6" s="102"/>
      <c r="G6" s="103"/>
      <c r="H6" s="103"/>
      <c r="I6" s="96" t="str">
        <f aca="false">IF(OR(G6="",H6=""),"",G6*H6)</f>
        <v/>
      </c>
      <c r="J6" s="99" t="str">
        <f aca="false">IF(I6="","",IF(I6&gt;=15,"Crítica",IF(I6&gt;=9,"Alta",IF(I6&gt;=4,"Média","Baixa"))))</f>
        <v/>
      </c>
      <c r="K6" s="102"/>
      <c r="L6" s="102"/>
      <c r="M6" s="103"/>
      <c r="N6" s="96" t="str">
        <f aca="false">IF(B6="","",COUNTIF('Inova - Soluções'!$C$5:$C$500,A6&amp;"*"))</f>
        <v/>
      </c>
      <c r="O6" s="104"/>
      <c r="P6" s="102"/>
      <c r="Q6" s="102"/>
      <c r="R6" s="100" t="str">
        <f aca="false">IF(B6="","",A6&amp;" · "&amp;B6)</f>
        <v/>
      </c>
    </row>
    <row r="7" customFormat="false" ht="15" hidden="false" customHeight="false" outlineLevel="0" collapsed="false">
      <c r="A7" s="93" t="s">
        <v>1225</v>
      </c>
      <c r="B7" s="105"/>
      <c r="C7" s="105"/>
      <c r="D7" s="105"/>
      <c r="E7" s="106"/>
      <c r="F7" s="105"/>
      <c r="G7" s="106"/>
      <c r="H7" s="106"/>
      <c r="I7" s="96" t="str">
        <f aca="false">IF(OR(G7="",H7=""),"",G7*H7)</f>
        <v/>
      </c>
      <c r="J7" s="99" t="str">
        <f aca="false">IF(I7="","",IF(I7&gt;=15,"Crítica",IF(I7&gt;=9,"Alta",IF(I7&gt;=4,"Média","Baixa"))))</f>
        <v/>
      </c>
      <c r="K7" s="105"/>
      <c r="L7" s="105"/>
      <c r="M7" s="106"/>
      <c r="N7" s="96" t="str">
        <f aca="false">IF(B7="","",COUNTIF('Inova - Soluções'!$C$5:$C$500,A7&amp;"*"))</f>
        <v/>
      </c>
      <c r="O7" s="107"/>
      <c r="P7" s="105"/>
      <c r="Q7" s="105"/>
      <c r="R7" s="100" t="str">
        <f aca="false">IF(B7="","",A7&amp;" · "&amp;B7)</f>
        <v/>
      </c>
    </row>
    <row r="8" customFormat="false" ht="15" hidden="false" customHeight="false" outlineLevel="0" collapsed="false">
      <c r="A8" s="101" t="s">
        <v>1226</v>
      </c>
      <c r="B8" s="102"/>
      <c r="C8" s="102"/>
      <c r="D8" s="102"/>
      <c r="E8" s="103"/>
      <c r="F8" s="102"/>
      <c r="G8" s="103"/>
      <c r="H8" s="103"/>
      <c r="I8" s="96" t="str">
        <f aca="false">IF(OR(G8="",H8=""),"",G8*H8)</f>
        <v/>
      </c>
      <c r="J8" s="99" t="str">
        <f aca="false">IF(I8="","",IF(I8&gt;=15,"Crítica",IF(I8&gt;=9,"Alta",IF(I8&gt;=4,"Média","Baixa"))))</f>
        <v/>
      </c>
      <c r="K8" s="102"/>
      <c r="L8" s="102"/>
      <c r="M8" s="103"/>
      <c r="N8" s="96" t="str">
        <f aca="false">IF(B8="","",COUNTIF('Inova - Soluções'!$C$5:$C$500,A8&amp;"*"))</f>
        <v/>
      </c>
      <c r="O8" s="104"/>
      <c r="P8" s="102"/>
      <c r="Q8" s="102"/>
      <c r="R8" s="100" t="str">
        <f aca="false">IF(B8="","",A8&amp;" · "&amp;B8)</f>
        <v/>
      </c>
    </row>
    <row r="9" customFormat="false" ht="15" hidden="false" customHeight="false" outlineLevel="0" collapsed="false">
      <c r="A9" s="93" t="s">
        <v>1227</v>
      </c>
      <c r="B9" s="105"/>
      <c r="C9" s="105"/>
      <c r="D9" s="105"/>
      <c r="E9" s="106"/>
      <c r="F9" s="105"/>
      <c r="G9" s="106"/>
      <c r="H9" s="106"/>
      <c r="I9" s="96" t="str">
        <f aca="false">IF(OR(G9="",H9=""),"",G9*H9)</f>
        <v/>
      </c>
      <c r="J9" s="99" t="str">
        <f aca="false">IF(I9="","",IF(I9&gt;=15,"Crítica",IF(I9&gt;=9,"Alta",IF(I9&gt;=4,"Média","Baixa"))))</f>
        <v/>
      </c>
      <c r="K9" s="105"/>
      <c r="L9" s="105"/>
      <c r="M9" s="106"/>
      <c r="N9" s="96" t="str">
        <f aca="false">IF(B9="","",COUNTIF('Inova - Soluções'!$C$5:$C$500,A9&amp;"*"))</f>
        <v/>
      </c>
      <c r="O9" s="107"/>
      <c r="P9" s="105"/>
      <c r="Q9" s="105"/>
      <c r="R9" s="100" t="str">
        <f aca="false">IF(B9="","",A9&amp;" · "&amp;B9)</f>
        <v/>
      </c>
    </row>
    <row r="10" customFormat="false" ht="15" hidden="false" customHeight="false" outlineLevel="0" collapsed="false">
      <c r="A10" s="101" t="s">
        <v>1228</v>
      </c>
      <c r="B10" s="102"/>
      <c r="C10" s="102"/>
      <c r="D10" s="102"/>
      <c r="E10" s="103"/>
      <c r="F10" s="102"/>
      <c r="G10" s="103"/>
      <c r="H10" s="103"/>
      <c r="I10" s="96" t="str">
        <f aca="false">IF(OR(G10="",H10=""),"",G10*H10)</f>
        <v/>
      </c>
      <c r="J10" s="99" t="str">
        <f aca="false">IF(I10="","",IF(I10&gt;=15,"Crítica",IF(I10&gt;=9,"Alta",IF(I10&gt;=4,"Média","Baixa"))))</f>
        <v/>
      </c>
      <c r="K10" s="102"/>
      <c r="L10" s="102"/>
      <c r="M10" s="103"/>
      <c r="N10" s="96" t="str">
        <f aca="false">IF(B10="","",COUNTIF('Inova - Soluções'!$C$5:$C$500,A10&amp;"*"))</f>
        <v/>
      </c>
      <c r="O10" s="104"/>
      <c r="P10" s="102"/>
      <c r="Q10" s="102"/>
      <c r="R10" s="100" t="str">
        <f aca="false">IF(B10="","",A10&amp;" · "&amp;B10)</f>
        <v/>
      </c>
    </row>
    <row r="11" customFormat="false" ht="15" hidden="false" customHeight="false" outlineLevel="0" collapsed="false">
      <c r="A11" s="93" t="s">
        <v>1229</v>
      </c>
      <c r="B11" s="105"/>
      <c r="C11" s="105"/>
      <c r="D11" s="105"/>
      <c r="E11" s="106"/>
      <c r="F11" s="105"/>
      <c r="G11" s="106"/>
      <c r="H11" s="106"/>
      <c r="I11" s="96" t="str">
        <f aca="false">IF(OR(G11="",H11=""),"",G11*H11)</f>
        <v/>
      </c>
      <c r="J11" s="99" t="str">
        <f aca="false">IF(I11="","",IF(I11&gt;=15,"Crítica",IF(I11&gt;=9,"Alta",IF(I11&gt;=4,"Média","Baixa"))))</f>
        <v/>
      </c>
      <c r="K11" s="105"/>
      <c r="L11" s="105"/>
      <c r="M11" s="106"/>
      <c r="N11" s="96" t="str">
        <f aca="false">IF(B11="","",COUNTIF('Inova - Soluções'!$C$5:$C$500,A11&amp;"*"))</f>
        <v/>
      </c>
      <c r="O11" s="107"/>
      <c r="P11" s="105"/>
      <c r="Q11" s="105"/>
      <c r="R11" s="100" t="str">
        <f aca="false">IF(B11="","",A11&amp;" · "&amp;B11)</f>
        <v/>
      </c>
    </row>
    <row r="12" customFormat="false" ht="15" hidden="false" customHeight="false" outlineLevel="0" collapsed="false">
      <c r="A12" s="101" t="s">
        <v>1230</v>
      </c>
      <c r="B12" s="102"/>
      <c r="C12" s="102"/>
      <c r="D12" s="102"/>
      <c r="E12" s="103"/>
      <c r="F12" s="102"/>
      <c r="G12" s="103"/>
      <c r="H12" s="103"/>
      <c r="I12" s="96" t="str">
        <f aca="false">IF(OR(G12="",H12=""),"",G12*H12)</f>
        <v/>
      </c>
      <c r="J12" s="99" t="str">
        <f aca="false">IF(I12="","",IF(I12&gt;=15,"Crítica",IF(I12&gt;=9,"Alta",IF(I12&gt;=4,"Média","Baixa"))))</f>
        <v/>
      </c>
      <c r="K12" s="102"/>
      <c r="L12" s="102"/>
      <c r="M12" s="103"/>
      <c r="N12" s="96" t="str">
        <f aca="false">IF(B12="","",COUNTIF('Inova - Soluções'!$C$5:$C$500,A12&amp;"*"))</f>
        <v/>
      </c>
      <c r="O12" s="104"/>
      <c r="P12" s="102"/>
      <c r="Q12" s="102"/>
      <c r="R12" s="100" t="str">
        <f aca="false">IF(B12="","",A12&amp;" · "&amp;B12)</f>
        <v/>
      </c>
    </row>
    <row r="13" customFormat="false" ht="15" hidden="false" customHeight="false" outlineLevel="0" collapsed="false">
      <c r="A13" s="93" t="s">
        <v>1231</v>
      </c>
      <c r="B13" s="105"/>
      <c r="C13" s="105"/>
      <c r="D13" s="105"/>
      <c r="E13" s="106"/>
      <c r="F13" s="105"/>
      <c r="G13" s="106"/>
      <c r="H13" s="106"/>
      <c r="I13" s="96" t="str">
        <f aca="false">IF(OR(G13="",H13=""),"",G13*H13)</f>
        <v/>
      </c>
      <c r="J13" s="99" t="str">
        <f aca="false">IF(I13="","",IF(I13&gt;=15,"Crítica",IF(I13&gt;=9,"Alta",IF(I13&gt;=4,"Média","Baixa"))))</f>
        <v/>
      </c>
      <c r="K13" s="105"/>
      <c r="L13" s="105"/>
      <c r="M13" s="106"/>
      <c r="N13" s="96" t="str">
        <f aca="false">IF(B13="","",COUNTIF('Inova - Soluções'!$C$5:$C$500,A13&amp;"*"))</f>
        <v/>
      </c>
      <c r="O13" s="107"/>
      <c r="P13" s="105"/>
      <c r="Q13" s="105"/>
      <c r="R13" s="100" t="str">
        <f aca="false">IF(B13="","",A13&amp;" · "&amp;B13)</f>
        <v/>
      </c>
    </row>
    <row r="14" customFormat="false" ht="15" hidden="false" customHeight="false" outlineLevel="0" collapsed="false">
      <c r="A14" s="101" t="s">
        <v>1232</v>
      </c>
      <c r="B14" s="102"/>
      <c r="C14" s="102"/>
      <c r="D14" s="102"/>
      <c r="E14" s="103"/>
      <c r="F14" s="102"/>
      <c r="G14" s="103"/>
      <c r="H14" s="103"/>
      <c r="I14" s="96" t="str">
        <f aca="false">IF(OR(G14="",H14=""),"",G14*H14)</f>
        <v/>
      </c>
      <c r="J14" s="99" t="str">
        <f aca="false">IF(I14="","",IF(I14&gt;=15,"Crítica",IF(I14&gt;=9,"Alta",IF(I14&gt;=4,"Média","Baixa"))))</f>
        <v/>
      </c>
      <c r="K14" s="102"/>
      <c r="L14" s="102"/>
      <c r="M14" s="103"/>
      <c r="N14" s="96" t="str">
        <f aca="false">IF(B14="","",COUNTIF('Inova - Soluções'!$C$5:$C$500,A14&amp;"*"))</f>
        <v/>
      </c>
      <c r="O14" s="104"/>
      <c r="P14" s="102"/>
      <c r="Q14" s="102"/>
      <c r="R14" s="100" t="str">
        <f aca="false">IF(B14="","",A14&amp;" · "&amp;B14)</f>
        <v/>
      </c>
    </row>
    <row r="15" customFormat="false" ht="15" hidden="false" customHeight="false" outlineLevel="0" collapsed="false">
      <c r="A15" s="93" t="s">
        <v>1233</v>
      </c>
      <c r="B15" s="105"/>
      <c r="C15" s="105"/>
      <c r="D15" s="105"/>
      <c r="E15" s="106"/>
      <c r="F15" s="105"/>
      <c r="G15" s="106"/>
      <c r="H15" s="106"/>
      <c r="I15" s="96" t="str">
        <f aca="false">IF(OR(G15="",H15=""),"",G15*H15)</f>
        <v/>
      </c>
      <c r="J15" s="99" t="str">
        <f aca="false">IF(I15="","",IF(I15&gt;=15,"Crítica",IF(I15&gt;=9,"Alta",IF(I15&gt;=4,"Média","Baixa"))))</f>
        <v/>
      </c>
      <c r="K15" s="105"/>
      <c r="L15" s="105"/>
      <c r="M15" s="106"/>
      <c r="N15" s="96" t="str">
        <f aca="false">IF(B15="","",COUNTIF('Inova - Soluções'!$C$5:$C$500,A15&amp;"*"))</f>
        <v/>
      </c>
      <c r="O15" s="107"/>
      <c r="P15" s="105"/>
      <c r="Q15" s="105"/>
      <c r="R15" s="100" t="str">
        <f aca="false">IF(B15="","",A15&amp;" · "&amp;B15)</f>
        <v/>
      </c>
    </row>
    <row r="16" customFormat="false" ht="15" hidden="false" customHeight="false" outlineLevel="0" collapsed="false">
      <c r="A16" s="101" t="s">
        <v>1234</v>
      </c>
      <c r="B16" s="102"/>
      <c r="C16" s="102"/>
      <c r="D16" s="102"/>
      <c r="E16" s="103"/>
      <c r="F16" s="102"/>
      <c r="G16" s="103"/>
      <c r="H16" s="103"/>
      <c r="I16" s="96" t="str">
        <f aca="false">IF(OR(G16="",H16=""),"",G16*H16)</f>
        <v/>
      </c>
      <c r="J16" s="99" t="str">
        <f aca="false">IF(I16="","",IF(I16&gt;=15,"Crítica",IF(I16&gt;=9,"Alta",IF(I16&gt;=4,"Média","Baixa"))))</f>
        <v/>
      </c>
      <c r="K16" s="102"/>
      <c r="L16" s="102"/>
      <c r="M16" s="103"/>
      <c r="N16" s="96" t="str">
        <f aca="false">IF(B16="","",COUNTIF('Inova - Soluções'!$C$5:$C$500,A16&amp;"*"))</f>
        <v/>
      </c>
      <c r="O16" s="104"/>
      <c r="P16" s="102"/>
      <c r="Q16" s="102"/>
      <c r="R16" s="100" t="str">
        <f aca="false">IF(B16="","",A16&amp;" · "&amp;B16)</f>
        <v/>
      </c>
    </row>
    <row r="17" customFormat="false" ht="15" hidden="false" customHeight="false" outlineLevel="0" collapsed="false">
      <c r="A17" s="93" t="s">
        <v>1235</v>
      </c>
      <c r="B17" s="105"/>
      <c r="C17" s="105"/>
      <c r="D17" s="105"/>
      <c r="E17" s="106"/>
      <c r="F17" s="105"/>
      <c r="G17" s="106"/>
      <c r="H17" s="106"/>
      <c r="I17" s="96" t="str">
        <f aca="false">IF(OR(G17="",H17=""),"",G17*H17)</f>
        <v/>
      </c>
      <c r="J17" s="99" t="str">
        <f aca="false">IF(I17="","",IF(I17&gt;=15,"Crítica",IF(I17&gt;=9,"Alta",IF(I17&gt;=4,"Média","Baixa"))))</f>
        <v/>
      </c>
      <c r="K17" s="105"/>
      <c r="L17" s="105"/>
      <c r="M17" s="106"/>
      <c r="N17" s="96" t="str">
        <f aca="false">IF(B17="","",COUNTIF('Inova - Soluções'!$C$5:$C$500,A17&amp;"*"))</f>
        <v/>
      </c>
      <c r="O17" s="107"/>
      <c r="P17" s="105"/>
      <c r="Q17" s="105"/>
      <c r="R17" s="100" t="str">
        <f aca="false">IF(B17="","",A17&amp;" · "&amp;B17)</f>
        <v/>
      </c>
    </row>
    <row r="18" customFormat="false" ht="15" hidden="false" customHeight="false" outlineLevel="0" collapsed="false">
      <c r="A18" s="101" t="s">
        <v>1236</v>
      </c>
      <c r="B18" s="102"/>
      <c r="C18" s="102"/>
      <c r="D18" s="102"/>
      <c r="E18" s="103"/>
      <c r="F18" s="102"/>
      <c r="G18" s="103"/>
      <c r="H18" s="103"/>
      <c r="I18" s="96" t="str">
        <f aca="false">IF(OR(G18="",H18=""),"",G18*H18)</f>
        <v/>
      </c>
      <c r="J18" s="99" t="str">
        <f aca="false">IF(I18="","",IF(I18&gt;=15,"Crítica",IF(I18&gt;=9,"Alta",IF(I18&gt;=4,"Média","Baixa"))))</f>
        <v/>
      </c>
      <c r="K18" s="102"/>
      <c r="L18" s="102"/>
      <c r="M18" s="103"/>
      <c r="N18" s="96" t="str">
        <f aca="false">IF(B18="","",COUNTIF('Inova - Soluções'!$C$5:$C$500,A18&amp;"*"))</f>
        <v/>
      </c>
      <c r="O18" s="104"/>
      <c r="P18" s="102"/>
      <c r="Q18" s="102"/>
      <c r="R18" s="100" t="str">
        <f aca="false">IF(B18="","",A18&amp;" · "&amp;B18)</f>
        <v/>
      </c>
    </row>
    <row r="19" customFormat="false" ht="15" hidden="false" customHeight="false" outlineLevel="0" collapsed="false">
      <c r="A19" s="93" t="s">
        <v>1237</v>
      </c>
      <c r="B19" s="105"/>
      <c r="C19" s="105"/>
      <c r="D19" s="105"/>
      <c r="E19" s="106"/>
      <c r="F19" s="105"/>
      <c r="G19" s="106"/>
      <c r="H19" s="106"/>
      <c r="I19" s="96" t="str">
        <f aca="false">IF(OR(G19="",H19=""),"",G19*H19)</f>
        <v/>
      </c>
      <c r="J19" s="99" t="str">
        <f aca="false">IF(I19="","",IF(I19&gt;=15,"Crítica",IF(I19&gt;=9,"Alta",IF(I19&gt;=4,"Média","Baixa"))))</f>
        <v/>
      </c>
      <c r="K19" s="105"/>
      <c r="L19" s="105"/>
      <c r="M19" s="106"/>
      <c r="N19" s="96" t="str">
        <f aca="false">IF(B19="","",COUNTIF('Inova - Soluções'!$C$5:$C$500,A19&amp;"*"))</f>
        <v/>
      </c>
      <c r="O19" s="107"/>
      <c r="P19" s="105"/>
      <c r="Q19" s="105"/>
      <c r="R19" s="100" t="str">
        <f aca="false">IF(B19="","",A19&amp;" · "&amp;B19)</f>
        <v/>
      </c>
    </row>
    <row r="20" customFormat="false" ht="15" hidden="false" customHeight="false" outlineLevel="0" collapsed="false">
      <c r="A20" s="101" t="s">
        <v>1238</v>
      </c>
      <c r="B20" s="102"/>
      <c r="C20" s="102"/>
      <c r="D20" s="102"/>
      <c r="E20" s="103"/>
      <c r="F20" s="102"/>
      <c r="G20" s="103"/>
      <c r="H20" s="103"/>
      <c r="I20" s="96" t="str">
        <f aca="false">IF(OR(G20="",H20=""),"",G20*H20)</f>
        <v/>
      </c>
      <c r="J20" s="99" t="str">
        <f aca="false">IF(I20="","",IF(I20&gt;=15,"Crítica",IF(I20&gt;=9,"Alta",IF(I20&gt;=4,"Média","Baixa"))))</f>
        <v/>
      </c>
      <c r="K20" s="102"/>
      <c r="L20" s="102"/>
      <c r="M20" s="103"/>
      <c r="N20" s="96" t="str">
        <f aca="false">IF(B20="","",COUNTIF('Inova - Soluções'!$C$5:$C$500,A20&amp;"*"))</f>
        <v/>
      </c>
      <c r="O20" s="104"/>
      <c r="P20" s="102"/>
      <c r="Q20" s="102"/>
      <c r="R20" s="100" t="str">
        <f aca="false">IF(B20="","",A20&amp;" · "&amp;B20)</f>
        <v/>
      </c>
    </row>
    <row r="21" customFormat="false" ht="15" hidden="false" customHeight="false" outlineLevel="0" collapsed="false">
      <c r="A21" s="93" t="s">
        <v>1239</v>
      </c>
      <c r="B21" s="105"/>
      <c r="C21" s="105"/>
      <c r="D21" s="105"/>
      <c r="E21" s="106"/>
      <c r="F21" s="105"/>
      <c r="G21" s="106"/>
      <c r="H21" s="106"/>
      <c r="I21" s="96" t="str">
        <f aca="false">IF(OR(G21="",H21=""),"",G21*H21)</f>
        <v/>
      </c>
      <c r="J21" s="99" t="str">
        <f aca="false">IF(I21="","",IF(I21&gt;=15,"Crítica",IF(I21&gt;=9,"Alta",IF(I21&gt;=4,"Média","Baixa"))))</f>
        <v/>
      </c>
      <c r="K21" s="105"/>
      <c r="L21" s="105"/>
      <c r="M21" s="106"/>
      <c r="N21" s="96" t="str">
        <f aca="false">IF(B21="","",COUNTIF('Inova - Soluções'!$C$5:$C$500,A21&amp;"*"))</f>
        <v/>
      </c>
      <c r="O21" s="107"/>
      <c r="P21" s="105"/>
      <c r="Q21" s="105"/>
      <c r="R21" s="100" t="str">
        <f aca="false">IF(B21="","",A21&amp;" · "&amp;B21)</f>
        <v/>
      </c>
    </row>
    <row r="22" customFormat="false" ht="15" hidden="false" customHeight="false" outlineLevel="0" collapsed="false">
      <c r="A22" s="101" t="s">
        <v>1240</v>
      </c>
      <c r="B22" s="102"/>
      <c r="C22" s="102"/>
      <c r="D22" s="102"/>
      <c r="E22" s="103"/>
      <c r="F22" s="102"/>
      <c r="G22" s="103"/>
      <c r="H22" s="103"/>
      <c r="I22" s="96" t="str">
        <f aca="false">IF(OR(G22="",H22=""),"",G22*H22)</f>
        <v/>
      </c>
      <c r="J22" s="99" t="str">
        <f aca="false">IF(I22="","",IF(I22&gt;=15,"Crítica",IF(I22&gt;=9,"Alta",IF(I22&gt;=4,"Média","Baixa"))))</f>
        <v/>
      </c>
      <c r="K22" s="102"/>
      <c r="L22" s="102"/>
      <c r="M22" s="103"/>
      <c r="N22" s="96" t="str">
        <f aca="false">IF(B22="","",COUNTIF('Inova - Soluções'!$C$5:$C$500,A22&amp;"*"))</f>
        <v/>
      </c>
      <c r="O22" s="104"/>
      <c r="P22" s="102"/>
      <c r="Q22" s="102"/>
      <c r="R22" s="100" t="str">
        <f aca="false">IF(B22="","",A22&amp;" · "&amp;B22)</f>
        <v/>
      </c>
    </row>
    <row r="23" customFormat="false" ht="15" hidden="false" customHeight="false" outlineLevel="0" collapsed="false">
      <c r="A23" s="93" t="s">
        <v>1241</v>
      </c>
      <c r="B23" s="105"/>
      <c r="C23" s="105"/>
      <c r="D23" s="105"/>
      <c r="E23" s="106"/>
      <c r="F23" s="105"/>
      <c r="G23" s="106"/>
      <c r="H23" s="106"/>
      <c r="I23" s="96" t="str">
        <f aca="false">IF(OR(G23="",H23=""),"",G23*H23)</f>
        <v/>
      </c>
      <c r="J23" s="99" t="str">
        <f aca="false">IF(I23="","",IF(I23&gt;=15,"Crítica",IF(I23&gt;=9,"Alta",IF(I23&gt;=4,"Média","Baixa"))))</f>
        <v/>
      </c>
      <c r="K23" s="105"/>
      <c r="L23" s="105"/>
      <c r="M23" s="106"/>
      <c r="N23" s="96" t="str">
        <f aca="false">IF(B23="","",COUNTIF('Inova - Soluções'!$C$5:$C$500,A23&amp;"*"))</f>
        <v/>
      </c>
      <c r="O23" s="107"/>
      <c r="P23" s="105"/>
      <c r="Q23" s="105"/>
      <c r="R23" s="100" t="str">
        <f aca="false">IF(B23="","",A23&amp;" · "&amp;B23)</f>
        <v/>
      </c>
    </row>
    <row r="24" customFormat="false" ht="15" hidden="false" customHeight="false" outlineLevel="0" collapsed="false">
      <c r="A24" s="101" t="s">
        <v>1242</v>
      </c>
      <c r="B24" s="102"/>
      <c r="C24" s="102"/>
      <c r="D24" s="102"/>
      <c r="E24" s="103"/>
      <c r="F24" s="102"/>
      <c r="G24" s="103"/>
      <c r="H24" s="103"/>
      <c r="I24" s="96" t="str">
        <f aca="false">IF(OR(G24="",H24=""),"",G24*H24)</f>
        <v/>
      </c>
      <c r="J24" s="99" t="str">
        <f aca="false">IF(I24="","",IF(I24&gt;=15,"Crítica",IF(I24&gt;=9,"Alta",IF(I24&gt;=4,"Média","Baixa"))))</f>
        <v/>
      </c>
      <c r="K24" s="102"/>
      <c r="L24" s="102"/>
      <c r="M24" s="103"/>
      <c r="N24" s="96" t="str">
        <f aca="false">IF(B24="","",COUNTIF('Inova - Soluções'!$C$5:$C$500,A24&amp;"*"))</f>
        <v/>
      </c>
      <c r="O24" s="104"/>
      <c r="P24" s="102"/>
      <c r="Q24" s="102"/>
      <c r="R24" s="100" t="str">
        <f aca="false">IF(B24="","",A24&amp;" · "&amp;B24)</f>
        <v/>
      </c>
    </row>
    <row r="25" customFormat="false" ht="15" hidden="false" customHeight="false" outlineLevel="0" collapsed="false">
      <c r="A25" s="93" t="s">
        <v>1243</v>
      </c>
      <c r="B25" s="105"/>
      <c r="C25" s="105"/>
      <c r="D25" s="105"/>
      <c r="E25" s="106"/>
      <c r="F25" s="105"/>
      <c r="G25" s="106"/>
      <c r="H25" s="106"/>
      <c r="I25" s="96" t="str">
        <f aca="false">IF(OR(G25="",H25=""),"",G25*H25)</f>
        <v/>
      </c>
      <c r="J25" s="99" t="str">
        <f aca="false">IF(I25="","",IF(I25&gt;=15,"Crítica",IF(I25&gt;=9,"Alta",IF(I25&gt;=4,"Média","Baixa"))))</f>
        <v/>
      </c>
      <c r="K25" s="105"/>
      <c r="L25" s="105"/>
      <c r="M25" s="106"/>
      <c r="N25" s="96" t="str">
        <f aca="false">IF(B25="","",COUNTIF('Inova - Soluções'!$C$5:$C$500,A25&amp;"*"))</f>
        <v/>
      </c>
      <c r="O25" s="107"/>
      <c r="P25" s="105"/>
      <c r="Q25" s="105"/>
      <c r="R25" s="100" t="str">
        <f aca="false">IF(B25="","",A25&amp;" · "&amp;B25)</f>
        <v/>
      </c>
    </row>
    <row r="26" customFormat="false" ht="15" hidden="false" customHeight="false" outlineLevel="0" collapsed="false">
      <c r="A26" s="101" t="s">
        <v>1244</v>
      </c>
      <c r="B26" s="102"/>
      <c r="C26" s="102"/>
      <c r="D26" s="102"/>
      <c r="E26" s="103"/>
      <c r="F26" s="102"/>
      <c r="G26" s="103"/>
      <c r="H26" s="103"/>
      <c r="I26" s="96" t="str">
        <f aca="false">IF(OR(G26="",H26=""),"",G26*H26)</f>
        <v/>
      </c>
      <c r="J26" s="99" t="str">
        <f aca="false">IF(I26="","",IF(I26&gt;=15,"Crítica",IF(I26&gt;=9,"Alta",IF(I26&gt;=4,"Média","Baixa"))))</f>
        <v/>
      </c>
      <c r="K26" s="102"/>
      <c r="L26" s="102"/>
      <c r="M26" s="103"/>
      <c r="N26" s="96" t="str">
        <f aca="false">IF(B26="","",COUNTIF('Inova - Soluções'!$C$5:$C$500,A26&amp;"*"))</f>
        <v/>
      </c>
      <c r="O26" s="104"/>
      <c r="P26" s="102"/>
      <c r="Q26" s="102"/>
      <c r="R26" s="100" t="str">
        <f aca="false">IF(B26="","",A26&amp;" · "&amp;B26)</f>
        <v/>
      </c>
    </row>
    <row r="27" customFormat="false" ht="15" hidden="false" customHeight="false" outlineLevel="0" collapsed="false">
      <c r="A27" s="93" t="s">
        <v>1245</v>
      </c>
      <c r="B27" s="105"/>
      <c r="C27" s="105"/>
      <c r="D27" s="105"/>
      <c r="E27" s="106"/>
      <c r="F27" s="105"/>
      <c r="G27" s="106"/>
      <c r="H27" s="106"/>
      <c r="I27" s="96" t="str">
        <f aca="false">IF(OR(G27="",H27=""),"",G27*H27)</f>
        <v/>
      </c>
      <c r="J27" s="99" t="str">
        <f aca="false">IF(I27="","",IF(I27&gt;=15,"Crítica",IF(I27&gt;=9,"Alta",IF(I27&gt;=4,"Média","Baixa"))))</f>
        <v/>
      </c>
      <c r="K27" s="105"/>
      <c r="L27" s="105"/>
      <c r="M27" s="106"/>
      <c r="N27" s="96" t="str">
        <f aca="false">IF(B27="","",COUNTIF('Inova - Soluções'!$C$5:$C$500,A27&amp;"*"))</f>
        <v/>
      </c>
      <c r="O27" s="107"/>
      <c r="P27" s="105"/>
      <c r="Q27" s="105"/>
      <c r="R27" s="100" t="str">
        <f aca="false">IF(B27="","",A27&amp;" · "&amp;B27)</f>
        <v/>
      </c>
    </row>
    <row r="28" customFormat="false" ht="15" hidden="false" customHeight="false" outlineLevel="0" collapsed="false">
      <c r="A28" s="101" t="s">
        <v>1246</v>
      </c>
      <c r="B28" s="102"/>
      <c r="C28" s="102"/>
      <c r="D28" s="102"/>
      <c r="E28" s="103"/>
      <c r="F28" s="102"/>
      <c r="G28" s="103"/>
      <c r="H28" s="103"/>
      <c r="I28" s="96" t="str">
        <f aca="false">IF(OR(G28="",H28=""),"",G28*H28)</f>
        <v/>
      </c>
      <c r="J28" s="99" t="str">
        <f aca="false">IF(I28="","",IF(I28&gt;=15,"Crítica",IF(I28&gt;=9,"Alta",IF(I28&gt;=4,"Média","Baixa"))))</f>
        <v/>
      </c>
      <c r="K28" s="102"/>
      <c r="L28" s="102"/>
      <c r="M28" s="103"/>
      <c r="N28" s="96" t="str">
        <f aca="false">IF(B28="","",COUNTIF('Inova - Soluções'!$C$5:$C$500,A28&amp;"*"))</f>
        <v/>
      </c>
      <c r="O28" s="104"/>
      <c r="P28" s="102"/>
      <c r="Q28" s="102"/>
      <c r="R28" s="100" t="str">
        <f aca="false">IF(B28="","",A28&amp;" · "&amp;B28)</f>
        <v/>
      </c>
    </row>
    <row r="29" customFormat="false" ht="15" hidden="false" customHeight="false" outlineLevel="0" collapsed="false">
      <c r="A29" s="93" t="s">
        <v>1247</v>
      </c>
      <c r="B29" s="105"/>
      <c r="C29" s="105"/>
      <c r="D29" s="105"/>
      <c r="E29" s="106"/>
      <c r="F29" s="105"/>
      <c r="G29" s="106"/>
      <c r="H29" s="106"/>
      <c r="I29" s="96" t="str">
        <f aca="false">IF(OR(G29="",H29=""),"",G29*H29)</f>
        <v/>
      </c>
      <c r="J29" s="99" t="str">
        <f aca="false">IF(I29="","",IF(I29&gt;=15,"Crítica",IF(I29&gt;=9,"Alta",IF(I29&gt;=4,"Média","Baixa"))))</f>
        <v/>
      </c>
      <c r="K29" s="105"/>
      <c r="L29" s="105"/>
      <c r="M29" s="106"/>
      <c r="N29" s="96" t="str">
        <f aca="false">IF(B29="","",COUNTIF('Inova - Soluções'!$C$5:$C$500,A29&amp;"*"))</f>
        <v/>
      </c>
      <c r="O29" s="107"/>
      <c r="P29" s="105"/>
      <c r="Q29" s="105"/>
      <c r="R29" s="100" t="str">
        <f aca="false">IF(B29="","",A29&amp;" · "&amp;B29)</f>
        <v/>
      </c>
    </row>
    <row r="30" customFormat="false" ht="15" hidden="false" customHeight="false" outlineLevel="0" collapsed="false">
      <c r="A30" s="101" t="s">
        <v>1248</v>
      </c>
      <c r="B30" s="102"/>
      <c r="C30" s="102"/>
      <c r="D30" s="102"/>
      <c r="E30" s="103"/>
      <c r="F30" s="102"/>
      <c r="G30" s="103"/>
      <c r="H30" s="103"/>
      <c r="I30" s="96" t="str">
        <f aca="false">IF(OR(G30="",H30=""),"",G30*H30)</f>
        <v/>
      </c>
      <c r="J30" s="99" t="str">
        <f aca="false">IF(I30="","",IF(I30&gt;=15,"Crítica",IF(I30&gt;=9,"Alta",IF(I30&gt;=4,"Média","Baixa"))))</f>
        <v/>
      </c>
      <c r="K30" s="102"/>
      <c r="L30" s="102"/>
      <c r="M30" s="103"/>
      <c r="N30" s="96" t="str">
        <f aca="false">IF(B30="","",COUNTIF('Inova - Soluções'!$C$5:$C$500,A30&amp;"*"))</f>
        <v/>
      </c>
      <c r="O30" s="104"/>
      <c r="P30" s="102"/>
      <c r="Q30" s="102"/>
      <c r="R30" s="100" t="str">
        <f aca="false">IF(B30="","",A30&amp;" · "&amp;B30)</f>
        <v/>
      </c>
    </row>
    <row r="31" customFormat="false" ht="15" hidden="false" customHeight="false" outlineLevel="0" collapsed="false">
      <c r="A31" s="93" t="s">
        <v>1249</v>
      </c>
      <c r="B31" s="105"/>
      <c r="C31" s="105"/>
      <c r="D31" s="105"/>
      <c r="E31" s="106"/>
      <c r="F31" s="105"/>
      <c r="G31" s="106"/>
      <c r="H31" s="106"/>
      <c r="I31" s="96" t="str">
        <f aca="false">IF(OR(G31="",H31=""),"",G31*H31)</f>
        <v/>
      </c>
      <c r="J31" s="99" t="str">
        <f aca="false">IF(I31="","",IF(I31&gt;=15,"Crítica",IF(I31&gt;=9,"Alta",IF(I31&gt;=4,"Média","Baixa"))))</f>
        <v/>
      </c>
      <c r="K31" s="105"/>
      <c r="L31" s="105"/>
      <c r="M31" s="106"/>
      <c r="N31" s="96" t="str">
        <f aca="false">IF(B31="","",COUNTIF('Inova - Soluções'!$C$5:$C$500,A31&amp;"*"))</f>
        <v/>
      </c>
      <c r="O31" s="107"/>
      <c r="P31" s="105"/>
      <c r="Q31" s="105"/>
      <c r="R31" s="100" t="str">
        <f aca="false">IF(B31="","",A31&amp;" · "&amp;B31)</f>
        <v/>
      </c>
    </row>
    <row r="32" customFormat="false" ht="15" hidden="false" customHeight="false" outlineLevel="0" collapsed="false">
      <c r="A32" s="101" t="s">
        <v>1250</v>
      </c>
      <c r="B32" s="102"/>
      <c r="C32" s="102"/>
      <c r="D32" s="102"/>
      <c r="E32" s="103"/>
      <c r="F32" s="102"/>
      <c r="G32" s="103"/>
      <c r="H32" s="103"/>
      <c r="I32" s="96" t="str">
        <f aca="false">IF(OR(G32="",H32=""),"",G32*H32)</f>
        <v/>
      </c>
      <c r="J32" s="99" t="str">
        <f aca="false">IF(I32="","",IF(I32&gt;=15,"Crítica",IF(I32&gt;=9,"Alta",IF(I32&gt;=4,"Média","Baixa"))))</f>
        <v/>
      </c>
      <c r="K32" s="102"/>
      <c r="L32" s="102"/>
      <c r="M32" s="103"/>
      <c r="N32" s="96" t="str">
        <f aca="false">IF(B32="","",COUNTIF('Inova - Soluções'!$C$5:$C$500,A32&amp;"*"))</f>
        <v/>
      </c>
      <c r="O32" s="104"/>
      <c r="P32" s="102"/>
      <c r="Q32" s="102"/>
      <c r="R32" s="100" t="str">
        <f aca="false">IF(B32="","",A32&amp;" · "&amp;B32)</f>
        <v/>
      </c>
    </row>
    <row r="33" customFormat="false" ht="15" hidden="false" customHeight="false" outlineLevel="0" collapsed="false">
      <c r="A33" s="93" t="s">
        <v>1251</v>
      </c>
      <c r="B33" s="105"/>
      <c r="C33" s="105"/>
      <c r="D33" s="105"/>
      <c r="E33" s="106"/>
      <c r="F33" s="105"/>
      <c r="G33" s="106"/>
      <c r="H33" s="106"/>
      <c r="I33" s="96" t="str">
        <f aca="false">IF(OR(G33="",H33=""),"",G33*H33)</f>
        <v/>
      </c>
      <c r="J33" s="99" t="str">
        <f aca="false">IF(I33="","",IF(I33&gt;=15,"Crítica",IF(I33&gt;=9,"Alta",IF(I33&gt;=4,"Média","Baixa"))))</f>
        <v/>
      </c>
      <c r="K33" s="105"/>
      <c r="L33" s="105"/>
      <c r="M33" s="106"/>
      <c r="N33" s="96" t="str">
        <f aca="false">IF(B33="","",COUNTIF('Inova - Soluções'!$C$5:$C$500,A33&amp;"*"))</f>
        <v/>
      </c>
      <c r="O33" s="107"/>
      <c r="P33" s="105"/>
      <c r="Q33" s="105"/>
      <c r="R33" s="100" t="str">
        <f aca="false">IF(B33="","",A33&amp;" · "&amp;B33)</f>
        <v/>
      </c>
    </row>
    <row r="34" customFormat="false" ht="15" hidden="false" customHeight="false" outlineLevel="0" collapsed="false">
      <c r="A34" s="101" t="s">
        <v>1252</v>
      </c>
      <c r="B34" s="102"/>
      <c r="C34" s="102"/>
      <c r="D34" s="102"/>
      <c r="E34" s="103"/>
      <c r="F34" s="102"/>
      <c r="G34" s="103"/>
      <c r="H34" s="103"/>
      <c r="I34" s="96" t="str">
        <f aca="false">IF(OR(G34="",H34=""),"",G34*H34)</f>
        <v/>
      </c>
      <c r="J34" s="99" t="str">
        <f aca="false">IF(I34="","",IF(I34&gt;=15,"Crítica",IF(I34&gt;=9,"Alta",IF(I34&gt;=4,"Média","Baixa"))))</f>
        <v/>
      </c>
      <c r="K34" s="102"/>
      <c r="L34" s="102"/>
      <c r="M34" s="103"/>
      <c r="N34" s="96" t="str">
        <f aca="false">IF(B34="","",COUNTIF('Inova - Soluções'!$C$5:$C$500,A34&amp;"*"))</f>
        <v/>
      </c>
      <c r="O34" s="104"/>
      <c r="P34" s="102"/>
      <c r="Q34" s="102"/>
      <c r="R34" s="100" t="str">
        <f aca="false">IF(B34="","",A34&amp;" · "&amp;B34)</f>
        <v/>
      </c>
    </row>
    <row r="35" customFormat="false" ht="15" hidden="false" customHeight="false" outlineLevel="0" collapsed="false">
      <c r="A35" s="93" t="s">
        <v>1253</v>
      </c>
      <c r="B35" s="105"/>
      <c r="C35" s="105"/>
      <c r="D35" s="105"/>
      <c r="E35" s="106"/>
      <c r="F35" s="105"/>
      <c r="G35" s="106"/>
      <c r="H35" s="106"/>
      <c r="I35" s="96" t="str">
        <f aca="false">IF(OR(G35="",H35=""),"",G35*H35)</f>
        <v/>
      </c>
      <c r="J35" s="99" t="str">
        <f aca="false">IF(I35="","",IF(I35&gt;=15,"Crítica",IF(I35&gt;=9,"Alta",IF(I35&gt;=4,"Média","Baixa"))))</f>
        <v/>
      </c>
      <c r="K35" s="105"/>
      <c r="L35" s="105"/>
      <c r="M35" s="106"/>
      <c r="N35" s="96" t="str">
        <f aca="false">IF(B35="","",COUNTIF('Inova - Soluções'!$C$5:$C$500,A35&amp;"*"))</f>
        <v/>
      </c>
      <c r="O35" s="107"/>
      <c r="P35" s="105"/>
      <c r="Q35" s="105"/>
      <c r="R35" s="100" t="str">
        <f aca="false">IF(B35="","",A35&amp;" · "&amp;B35)</f>
        <v/>
      </c>
    </row>
    <row r="36" customFormat="false" ht="15" hidden="false" customHeight="false" outlineLevel="0" collapsed="false">
      <c r="A36" s="101" t="s">
        <v>1254</v>
      </c>
      <c r="B36" s="102"/>
      <c r="C36" s="102"/>
      <c r="D36" s="102"/>
      <c r="E36" s="103"/>
      <c r="F36" s="102"/>
      <c r="G36" s="103"/>
      <c r="H36" s="103"/>
      <c r="I36" s="96" t="str">
        <f aca="false">IF(OR(G36="",H36=""),"",G36*H36)</f>
        <v/>
      </c>
      <c r="J36" s="99" t="str">
        <f aca="false">IF(I36="","",IF(I36&gt;=15,"Crítica",IF(I36&gt;=9,"Alta",IF(I36&gt;=4,"Média","Baixa"))))</f>
        <v/>
      </c>
      <c r="K36" s="102"/>
      <c r="L36" s="102"/>
      <c r="M36" s="103"/>
      <c r="N36" s="96" t="str">
        <f aca="false">IF(B36="","",COUNTIF('Inova - Soluções'!$C$5:$C$500,A36&amp;"*"))</f>
        <v/>
      </c>
      <c r="O36" s="104"/>
      <c r="P36" s="102"/>
      <c r="Q36" s="102"/>
      <c r="R36" s="100" t="str">
        <f aca="false">IF(B36="","",A36&amp;" · "&amp;B36)</f>
        <v/>
      </c>
    </row>
    <row r="37" customFormat="false" ht="15" hidden="false" customHeight="false" outlineLevel="0" collapsed="false">
      <c r="A37" s="93" t="s">
        <v>1255</v>
      </c>
      <c r="B37" s="105"/>
      <c r="C37" s="105"/>
      <c r="D37" s="105"/>
      <c r="E37" s="106"/>
      <c r="F37" s="105"/>
      <c r="G37" s="106"/>
      <c r="H37" s="106"/>
      <c r="I37" s="96" t="str">
        <f aca="false">IF(OR(G37="",H37=""),"",G37*H37)</f>
        <v/>
      </c>
      <c r="J37" s="99" t="str">
        <f aca="false">IF(I37="","",IF(I37&gt;=15,"Crítica",IF(I37&gt;=9,"Alta",IF(I37&gt;=4,"Média","Baixa"))))</f>
        <v/>
      </c>
      <c r="K37" s="105"/>
      <c r="L37" s="105"/>
      <c r="M37" s="106"/>
      <c r="N37" s="96" t="str">
        <f aca="false">IF(B37="","",COUNTIF('Inova - Soluções'!$C$5:$C$500,A37&amp;"*"))</f>
        <v/>
      </c>
      <c r="O37" s="107"/>
      <c r="P37" s="105"/>
      <c r="Q37" s="105"/>
      <c r="R37" s="100" t="str">
        <f aca="false">IF(B37="","",A37&amp;" · "&amp;B37)</f>
        <v/>
      </c>
    </row>
    <row r="38" customFormat="false" ht="15" hidden="false" customHeight="false" outlineLevel="0" collapsed="false">
      <c r="A38" s="101" t="s">
        <v>1256</v>
      </c>
      <c r="B38" s="102"/>
      <c r="C38" s="102"/>
      <c r="D38" s="102"/>
      <c r="E38" s="103"/>
      <c r="F38" s="102"/>
      <c r="G38" s="103"/>
      <c r="H38" s="103"/>
      <c r="I38" s="96" t="str">
        <f aca="false">IF(OR(G38="",H38=""),"",G38*H38)</f>
        <v/>
      </c>
      <c r="J38" s="99" t="str">
        <f aca="false">IF(I38="","",IF(I38&gt;=15,"Crítica",IF(I38&gt;=9,"Alta",IF(I38&gt;=4,"Média","Baixa"))))</f>
        <v/>
      </c>
      <c r="K38" s="102"/>
      <c r="L38" s="102"/>
      <c r="M38" s="103"/>
      <c r="N38" s="96" t="str">
        <f aca="false">IF(B38="","",COUNTIF('Inova - Soluções'!$C$5:$C$500,A38&amp;"*"))</f>
        <v/>
      </c>
      <c r="O38" s="104"/>
      <c r="P38" s="102"/>
      <c r="Q38" s="102"/>
      <c r="R38" s="100" t="str">
        <f aca="false">IF(B38="","",A38&amp;" · "&amp;B38)</f>
        <v/>
      </c>
    </row>
    <row r="39" customFormat="false" ht="15" hidden="false" customHeight="false" outlineLevel="0" collapsed="false">
      <c r="A39" s="93" t="s">
        <v>1257</v>
      </c>
      <c r="B39" s="105"/>
      <c r="C39" s="105"/>
      <c r="D39" s="105"/>
      <c r="E39" s="106"/>
      <c r="F39" s="105"/>
      <c r="G39" s="106"/>
      <c r="H39" s="106"/>
      <c r="I39" s="96" t="str">
        <f aca="false">IF(OR(G39="",H39=""),"",G39*H39)</f>
        <v/>
      </c>
      <c r="J39" s="99" t="str">
        <f aca="false">IF(I39="","",IF(I39&gt;=15,"Crítica",IF(I39&gt;=9,"Alta",IF(I39&gt;=4,"Média","Baixa"))))</f>
        <v/>
      </c>
      <c r="K39" s="105"/>
      <c r="L39" s="105"/>
      <c r="M39" s="106"/>
      <c r="N39" s="96" t="str">
        <f aca="false">IF(B39="","",COUNTIF('Inova - Soluções'!$C$5:$C$500,A39&amp;"*"))</f>
        <v/>
      </c>
      <c r="O39" s="107"/>
      <c r="P39" s="105"/>
      <c r="Q39" s="105"/>
      <c r="R39" s="100" t="str">
        <f aca="false">IF(B39="","",A39&amp;" · "&amp;B39)</f>
        <v/>
      </c>
    </row>
    <row r="40" customFormat="false" ht="15" hidden="false" customHeight="false" outlineLevel="0" collapsed="false">
      <c r="A40" s="101" t="s">
        <v>1258</v>
      </c>
      <c r="B40" s="102"/>
      <c r="C40" s="102"/>
      <c r="D40" s="102"/>
      <c r="E40" s="103"/>
      <c r="F40" s="102"/>
      <c r="G40" s="103"/>
      <c r="H40" s="103"/>
      <c r="I40" s="96" t="str">
        <f aca="false">IF(OR(G40="",H40=""),"",G40*H40)</f>
        <v/>
      </c>
      <c r="J40" s="99" t="str">
        <f aca="false">IF(I40="","",IF(I40&gt;=15,"Crítica",IF(I40&gt;=9,"Alta",IF(I40&gt;=4,"Média","Baixa"))))</f>
        <v/>
      </c>
      <c r="K40" s="102"/>
      <c r="L40" s="102"/>
      <c r="M40" s="103"/>
      <c r="N40" s="96" t="str">
        <f aca="false">IF(B40="","",COUNTIF('Inova - Soluções'!$C$5:$C$500,A40&amp;"*"))</f>
        <v/>
      </c>
      <c r="O40" s="104"/>
      <c r="P40" s="102"/>
      <c r="Q40" s="102"/>
      <c r="R40" s="100" t="str">
        <f aca="false">IF(B40="","",A40&amp;" · "&amp;B40)</f>
        <v/>
      </c>
    </row>
    <row r="41" customFormat="false" ht="15" hidden="false" customHeight="false" outlineLevel="0" collapsed="false">
      <c r="A41" s="93" t="s">
        <v>1259</v>
      </c>
      <c r="B41" s="105"/>
      <c r="C41" s="105"/>
      <c r="D41" s="105"/>
      <c r="E41" s="106"/>
      <c r="F41" s="105"/>
      <c r="G41" s="106"/>
      <c r="H41" s="106"/>
      <c r="I41" s="96" t="str">
        <f aca="false">IF(OR(G41="",H41=""),"",G41*H41)</f>
        <v/>
      </c>
      <c r="J41" s="99" t="str">
        <f aca="false">IF(I41="","",IF(I41&gt;=15,"Crítica",IF(I41&gt;=9,"Alta",IF(I41&gt;=4,"Média","Baixa"))))</f>
        <v/>
      </c>
      <c r="K41" s="105"/>
      <c r="L41" s="105"/>
      <c r="M41" s="106"/>
      <c r="N41" s="96" t="str">
        <f aca="false">IF(B41="","",COUNTIF('Inova - Soluções'!$C$5:$C$500,A41&amp;"*"))</f>
        <v/>
      </c>
      <c r="O41" s="107"/>
      <c r="P41" s="105"/>
      <c r="Q41" s="105"/>
      <c r="R41" s="100" t="str">
        <f aca="false">IF(B41="","",A41&amp;" · "&amp;B41)</f>
        <v/>
      </c>
    </row>
    <row r="42" customFormat="false" ht="15" hidden="false" customHeight="false" outlineLevel="0" collapsed="false">
      <c r="A42" s="101" t="s">
        <v>1260</v>
      </c>
      <c r="B42" s="102"/>
      <c r="C42" s="102"/>
      <c r="D42" s="102"/>
      <c r="E42" s="103"/>
      <c r="F42" s="102"/>
      <c r="G42" s="103"/>
      <c r="H42" s="103"/>
      <c r="I42" s="96" t="str">
        <f aca="false">IF(OR(G42="",H42=""),"",G42*H42)</f>
        <v/>
      </c>
      <c r="J42" s="99" t="str">
        <f aca="false">IF(I42="","",IF(I42&gt;=15,"Crítica",IF(I42&gt;=9,"Alta",IF(I42&gt;=4,"Média","Baixa"))))</f>
        <v/>
      </c>
      <c r="K42" s="102"/>
      <c r="L42" s="102"/>
      <c r="M42" s="103"/>
      <c r="N42" s="96" t="str">
        <f aca="false">IF(B42="","",COUNTIF('Inova - Soluções'!$C$5:$C$500,A42&amp;"*"))</f>
        <v/>
      </c>
      <c r="O42" s="104"/>
      <c r="P42" s="102"/>
      <c r="Q42" s="102"/>
      <c r="R42" s="100" t="str">
        <f aca="false">IF(B42="","",A42&amp;" · "&amp;B42)</f>
        <v/>
      </c>
    </row>
    <row r="43" customFormat="false" ht="15" hidden="false" customHeight="false" outlineLevel="0" collapsed="false">
      <c r="A43" s="93" t="s">
        <v>1261</v>
      </c>
      <c r="B43" s="105"/>
      <c r="C43" s="105"/>
      <c r="D43" s="105"/>
      <c r="E43" s="106"/>
      <c r="F43" s="105"/>
      <c r="G43" s="106"/>
      <c r="H43" s="106"/>
      <c r="I43" s="96" t="str">
        <f aca="false">IF(OR(G43="",H43=""),"",G43*H43)</f>
        <v/>
      </c>
      <c r="J43" s="99" t="str">
        <f aca="false">IF(I43="","",IF(I43&gt;=15,"Crítica",IF(I43&gt;=9,"Alta",IF(I43&gt;=4,"Média","Baixa"))))</f>
        <v/>
      </c>
      <c r="K43" s="105"/>
      <c r="L43" s="105"/>
      <c r="M43" s="106"/>
      <c r="N43" s="96" t="str">
        <f aca="false">IF(B43="","",COUNTIF('Inova - Soluções'!$C$5:$C$500,A43&amp;"*"))</f>
        <v/>
      </c>
      <c r="O43" s="107"/>
      <c r="P43" s="105"/>
      <c r="Q43" s="105"/>
      <c r="R43" s="100" t="str">
        <f aca="false">IF(B43="","",A43&amp;" · "&amp;B43)</f>
        <v/>
      </c>
    </row>
    <row r="44" customFormat="false" ht="15" hidden="false" customHeight="false" outlineLevel="0" collapsed="false">
      <c r="A44" s="101" t="s">
        <v>1262</v>
      </c>
      <c r="B44" s="102"/>
      <c r="C44" s="102"/>
      <c r="D44" s="102"/>
      <c r="E44" s="103"/>
      <c r="F44" s="102"/>
      <c r="G44" s="103"/>
      <c r="H44" s="103"/>
      <c r="I44" s="96" t="str">
        <f aca="false">IF(OR(G44="",H44=""),"",G44*H44)</f>
        <v/>
      </c>
      <c r="J44" s="99" t="str">
        <f aca="false">IF(I44="","",IF(I44&gt;=15,"Crítica",IF(I44&gt;=9,"Alta",IF(I44&gt;=4,"Média","Baixa"))))</f>
        <v/>
      </c>
      <c r="K44" s="102"/>
      <c r="L44" s="102"/>
      <c r="M44" s="103"/>
      <c r="N44" s="96" t="str">
        <f aca="false">IF(B44="","",COUNTIF('Inova - Soluções'!$C$5:$C$500,A44&amp;"*"))</f>
        <v/>
      </c>
      <c r="O44" s="104"/>
      <c r="P44" s="102"/>
      <c r="Q44" s="102"/>
      <c r="R44" s="100" t="str">
        <f aca="false">IF(B44="","",A44&amp;" · "&amp;B44)</f>
        <v/>
      </c>
    </row>
    <row r="45" customFormat="false" ht="15" hidden="false" customHeight="false" outlineLevel="0" collapsed="false">
      <c r="A45" s="93" t="s">
        <v>1263</v>
      </c>
      <c r="B45" s="105"/>
      <c r="C45" s="105"/>
      <c r="D45" s="105"/>
      <c r="E45" s="106"/>
      <c r="F45" s="105"/>
      <c r="G45" s="106"/>
      <c r="H45" s="106"/>
      <c r="I45" s="96" t="str">
        <f aca="false">IF(OR(G45="",H45=""),"",G45*H45)</f>
        <v/>
      </c>
      <c r="J45" s="99" t="str">
        <f aca="false">IF(I45="","",IF(I45&gt;=15,"Crítica",IF(I45&gt;=9,"Alta",IF(I45&gt;=4,"Média","Baixa"))))</f>
        <v/>
      </c>
      <c r="K45" s="105"/>
      <c r="L45" s="105"/>
      <c r="M45" s="106"/>
      <c r="N45" s="96" t="str">
        <f aca="false">IF(B45="","",COUNTIF('Inova - Soluções'!$C$5:$C$500,A45&amp;"*"))</f>
        <v/>
      </c>
      <c r="O45" s="107"/>
      <c r="P45" s="105"/>
      <c r="Q45" s="105"/>
      <c r="R45" s="100" t="str">
        <f aca="false">IF(B45="","",A45&amp;" · "&amp;B45)</f>
        <v/>
      </c>
    </row>
    <row r="46" customFormat="false" ht="15" hidden="false" customHeight="false" outlineLevel="0" collapsed="false">
      <c r="A46" s="101" t="s">
        <v>1264</v>
      </c>
      <c r="B46" s="102"/>
      <c r="C46" s="102"/>
      <c r="D46" s="102"/>
      <c r="E46" s="103"/>
      <c r="F46" s="102"/>
      <c r="G46" s="103"/>
      <c r="H46" s="103"/>
      <c r="I46" s="96" t="str">
        <f aca="false">IF(OR(G46="",H46=""),"",G46*H46)</f>
        <v/>
      </c>
      <c r="J46" s="99" t="str">
        <f aca="false">IF(I46="","",IF(I46&gt;=15,"Crítica",IF(I46&gt;=9,"Alta",IF(I46&gt;=4,"Média","Baixa"))))</f>
        <v/>
      </c>
      <c r="K46" s="102"/>
      <c r="L46" s="102"/>
      <c r="M46" s="103"/>
      <c r="N46" s="96" t="str">
        <f aca="false">IF(B46="","",COUNTIF('Inova - Soluções'!$C$5:$C$500,A46&amp;"*"))</f>
        <v/>
      </c>
      <c r="O46" s="104"/>
      <c r="P46" s="102"/>
      <c r="Q46" s="102"/>
      <c r="R46" s="100" t="str">
        <f aca="false">IF(B46="","",A46&amp;" · "&amp;B46)</f>
        <v/>
      </c>
    </row>
    <row r="47" customFormat="false" ht="15" hidden="false" customHeight="false" outlineLevel="0" collapsed="false">
      <c r="A47" s="93" t="s">
        <v>1265</v>
      </c>
      <c r="B47" s="105"/>
      <c r="C47" s="105"/>
      <c r="D47" s="105"/>
      <c r="E47" s="106"/>
      <c r="F47" s="105"/>
      <c r="G47" s="106"/>
      <c r="H47" s="106"/>
      <c r="I47" s="96" t="str">
        <f aca="false">IF(OR(G47="",H47=""),"",G47*H47)</f>
        <v/>
      </c>
      <c r="J47" s="99" t="str">
        <f aca="false">IF(I47="","",IF(I47&gt;=15,"Crítica",IF(I47&gt;=9,"Alta",IF(I47&gt;=4,"Média","Baixa"))))</f>
        <v/>
      </c>
      <c r="K47" s="105"/>
      <c r="L47" s="105"/>
      <c r="M47" s="106"/>
      <c r="N47" s="96" t="str">
        <f aca="false">IF(B47="","",COUNTIF('Inova - Soluções'!$C$5:$C$500,A47&amp;"*"))</f>
        <v/>
      </c>
      <c r="O47" s="107"/>
      <c r="P47" s="105"/>
      <c r="Q47" s="105"/>
      <c r="R47" s="100" t="str">
        <f aca="false">IF(B47="","",A47&amp;" · "&amp;B47)</f>
        <v/>
      </c>
    </row>
    <row r="48" customFormat="false" ht="15" hidden="false" customHeight="false" outlineLevel="0" collapsed="false">
      <c r="A48" s="101" t="s">
        <v>1266</v>
      </c>
      <c r="B48" s="102"/>
      <c r="C48" s="102"/>
      <c r="D48" s="102"/>
      <c r="E48" s="103"/>
      <c r="F48" s="102"/>
      <c r="G48" s="103"/>
      <c r="H48" s="103"/>
      <c r="I48" s="96" t="str">
        <f aca="false">IF(OR(G48="",H48=""),"",G48*H48)</f>
        <v/>
      </c>
      <c r="J48" s="99" t="str">
        <f aca="false">IF(I48="","",IF(I48&gt;=15,"Crítica",IF(I48&gt;=9,"Alta",IF(I48&gt;=4,"Média","Baixa"))))</f>
        <v/>
      </c>
      <c r="K48" s="102"/>
      <c r="L48" s="102"/>
      <c r="M48" s="103"/>
      <c r="N48" s="96" t="str">
        <f aca="false">IF(B48="","",COUNTIF('Inova - Soluções'!$C$5:$C$500,A48&amp;"*"))</f>
        <v/>
      </c>
      <c r="O48" s="104"/>
      <c r="P48" s="102"/>
      <c r="Q48" s="102"/>
      <c r="R48" s="100" t="str">
        <f aca="false">IF(B48="","",A48&amp;" · "&amp;B48)</f>
        <v/>
      </c>
    </row>
    <row r="49" customFormat="false" ht="15" hidden="false" customHeight="false" outlineLevel="0" collapsed="false">
      <c r="A49" s="93" t="s">
        <v>1267</v>
      </c>
      <c r="B49" s="105"/>
      <c r="C49" s="105"/>
      <c r="D49" s="105"/>
      <c r="E49" s="106"/>
      <c r="F49" s="105"/>
      <c r="G49" s="106"/>
      <c r="H49" s="106"/>
      <c r="I49" s="96" t="str">
        <f aca="false">IF(OR(G49="",H49=""),"",G49*H49)</f>
        <v/>
      </c>
      <c r="J49" s="99" t="str">
        <f aca="false">IF(I49="","",IF(I49&gt;=15,"Crítica",IF(I49&gt;=9,"Alta",IF(I49&gt;=4,"Média","Baixa"))))</f>
        <v/>
      </c>
      <c r="K49" s="105"/>
      <c r="L49" s="105"/>
      <c r="M49" s="106"/>
      <c r="N49" s="96" t="str">
        <f aca="false">IF(B49="","",COUNTIF('Inova - Soluções'!$C$5:$C$500,A49&amp;"*"))</f>
        <v/>
      </c>
      <c r="O49" s="107"/>
      <c r="P49" s="105"/>
      <c r="Q49" s="105"/>
      <c r="R49" s="100" t="str">
        <f aca="false">IF(B49="","",A49&amp;" · "&amp;B49)</f>
        <v/>
      </c>
    </row>
    <row r="50" customFormat="false" ht="15" hidden="false" customHeight="false" outlineLevel="0" collapsed="false">
      <c r="A50" s="101" t="s">
        <v>1268</v>
      </c>
      <c r="B50" s="102"/>
      <c r="C50" s="102"/>
      <c r="D50" s="102"/>
      <c r="E50" s="103"/>
      <c r="F50" s="102"/>
      <c r="G50" s="103"/>
      <c r="H50" s="103"/>
      <c r="I50" s="96" t="str">
        <f aca="false">IF(OR(G50="",H50=""),"",G50*H50)</f>
        <v/>
      </c>
      <c r="J50" s="99" t="str">
        <f aca="false">IF(I50="","",IF(I50&gt;=15,"Crítica",IF(I50&gt;=9,"Alta",IF(I50&gt;=4,"Média","Baixa"))))</f>
        <v/>
      </c>
      <c r="K50" s="102"/>
      <c r="L50" s="102"/>
      <c r="M50" s="103"/>
      <c r="N50" s="96" t="str">
        <f aca="false">IF(B50="","",COUNTIF('Inova - Soluções'!$C$5:$C$500,A50&amp;"*"))</f>
        <v/>
      </c>
      <c r="O50" s="104"/>
      <c r="P50" s="102"/>
      <c r="Q50" s="102"/>
      <c r="R50" s="100" t="str">
        <f aca="false">IF(B50="","",A50&amp;" · "&amp;B50)</f>
        <v/>
      </c>
    </row>
    <row r="51" customFormat="false" ht="15" hidden="false" customHeight="false" outlineLevel="0" collapsed="false">
      <c r="A51" s="93" t="s">
        <v>1269</v>
      </c>
      <c r="B51" s="105"/>
      <c r="C51" s="105"/>
      <c r="D51" s="105"/>
      <c r="E51" s="106"/>
      <c r="F51" s="105"/>
      <c r="G51" s="106"/>
      <c r="H51" s="106"/>
      <c r="I51" s="96" t="str">
        <f aca="false">IF(OR(G51="",H51=""),"",G51*H51)</f>
        <v/>
      </c>
      <c r="J51" s="99" t="str">
        <f aca="false">IF(I51="","",IF(I51&gt;=15,"Crítica",IF(I51&gt;=9,"Alta",IF(I51&gt;=4,"Média","Baixa"))))</f>
        <v/>
      </c>
      <c r="K51" s="105"/>
      <c r="L51" s="105"/>
      <c r="M51" s="106"/>
      <c r="N51" s="96" t="str">
        <f aca="false">IF(B51="","",COUNTIF('Inova - Soluções'!$C$5:$C$500,A51&amp;"*"))</f>
        <v/>
      </c>
      <c r="O51" s="107"/>
      <c r="P51" s="105"/>
      <c r="Q51" s="105"/>
      <c r="R51" s="100" t="str">
        <f aca="false">IF(B51="","",A51&amp;" · "&amp;B51)</f>
        <v/>
      </c>
    </row>
    <row r="52" customFormat="false" ht="15" hidden="false" customHeight="false" outlineLevel="0" collapsed="false">
      <c r="A52" s="101" t="s">
        <v>1270</v>
      </c>
      <c r="B52" s="102"/>
      <c r="C52" s="102"/>
      <c r="D52" s="102"/>
      <c r="E52" s="103"/>
      <c r="F52" s="102"/>
      <c r="G52" s="103"/>
      <c r="H52" s="103"/>
      <c r="I52" s="96" t="str">
        <f aca="false">IF(OR(G52="",H52=""),"",G52*H52)</f>
        <v/>
      </c>
      <c r="J52" s="99" t="str">
        <f aca="false">IF(I52="","",IF(I52&gt;=15,"Crítica",IF(I52&gt;=9,"Alta",IF(I52&gt;=4,"Média","Baixa"))))</f>
        <v/>
      </c>
      <c r="K52" s="102"/>
      <c r="L52" s="102"/>
      <c r="M52" s="103"/>
      <c r="N52" s="96" t="str">
        <f aca="false">IF(B52="","",COUNTIF('Inova - Soluções'!$C$5:$C$500,A52&amp;"*"))</f>
        <v/>
      </c>
      <c r="O52" s="104"/>
      <c r="P52" s="102"/>
      <c r="Q52" s="102"/>
      <c r="R52" s="100" t="str">
        <f aca="false">IF(B52="","",A52&amp;" · "&amp;B52)</f>
        <v/>
      </c>
    </row>
    <row r="53" customFormat="false" ht="15" hidden="false" customHeight="false" outlineLevel="0" collapsed="false">
      <c r="A53" s="93" t="s">
        <v>1271</v>
      </c>
      <c r="B53" s="105"/>
      <c r="C53" s="105"/>
      <c r="D53" s="105"/>
      <c r="E53" s="106"/>
      <c r="F53" s="105"/>
      <c r="G53" s="106"/>
      <c r="H53" s="106"/>
      <c r="I53" s="96" t="str">
        <f aca="false">IF(OR(G53="",H53=""),"",G53*H53)</f>
        <v/>
      </c>
      <c r="J53" s="99" t="str">
        <f aca="false">IF(I53="","",IF(I53&gt;=15,"Crítica",IF(I53&gt;=9,"Alta",IF(I53&gt;=4,"Média","Baixa"))))</f>
        <v/>
      </c>
      <c r="K53" s="105"/>
      <c r="L53" s="105"/>
      <c r="M53" s="106"/>
      <c r="N53" s="96" t="str">
        <f aca="false">IF(B53="","",COUNTIF('Inova - Soluções'!$C$5:$C$500,A53&amp;"*"))</f>
        <v/>
      </c>
      <c r="O53" s="107"/>
      <c r="P53" s="105"/>
      <c r="Q53" s="105"/>
      <c r="R53" s="100" t="str">
        <f aca="false">IF(B53="","",A53&amp;" · "&amp;B53)</f>
        <v/>
      </c>
    </row>
    <row r="54" customFormat="false" ht="15" hidden="false" customHeight="false" outlineLevel="0" collapsed="false">
      <c r="A54" s="101" t="s">
        <v>1272</v>
      </c>
      <c r="B54" s="102"/>
      <c r="C54" s="102"/>
      <c r="D54" s="102"/>
      <c r="E54" s="103"/>
      <c r="F54" s="102"/>
      <c r="G54" s="103"/>
      <c r="H54" s="103"/>
      <c r="I54" s="96" t="str">
        <f aca="false">IF(OR(G54="",H54=""),"",G54*H54)</f>
        <v/>
      </c>
      <c r="J54" s="99" t="str">
        <f aca="false">IF(I54="","",IF(I54&gt;=15,"Crítica",IF(I54&gt;=9,"Alta",IF(I54&gt;=4,"Média","Baixa"))))</f>
        <v/>
      </c>
      <c r="K54" s="102"/>
      <c r="L54" s="102"/>
      <c r="M54" s="103"/>
      <c r="N54" s="96" t="str">
        <f aca="false">IF(B54="","",COUNTIF('Inova - Soluções'!$C$5:$C$500,A54&amp;"*"))</f>
        <v/>
      </c>
      <c r="O54" s="104"/>
      <c r="P54" s="102"/>
      <c r="Q54" s="102"/>
      <c r="R54" s="100" t="str">
        <f aca="false">IF(B54="","",A54&amp;" · "&amp;B54)</f>
        <v/>
      </c>
    </row>
    <row r="55" customFormat="false" ht="15" hidden="false" customHeight="false" outlineLevel="0" collapsed="false">
      <c r="A55" s="93" t="s">
        <v>1273</v>
      </c>
      <c r="B55" s="105"/>
      <c r="C55" s="105"/>
      <c r="D55" s="105"/>
      <c r="E55" s="106"/>
      <c r="F55" s="105"/>
      <c r="G55" s="106"/>
      <c r="H55" s="106"/>
      <c r="I55" s="96" t="str">
        <f aca="false">IF(OR(G55="",H55=""),"",G55*H55)</f>
        <v/>
      </c>
      <c r="J55" s="99" t="str">
        <f aca="false">IF(I55="","",IF(I55&gt;=15,"Crítica",IF(I55&gt;=9,"Alta",IF(I55&gt;=4,"Média","Baixa"))))</f>
        <v/>
      </c>
      <c r="K55" s="105"/>
      <c r="L55" s="105"/>
      <c r="M55" s="106"/>
      <c r="N55" s="96" t="str">
        <f aca="false">IF(B55="","",COUNTIF('Inova - Soluções'!$C$5:$C$500,A55&amp;"*"))</f>
        <v/>
      </c>
      <c r="O55" s="107"/>
      <c r="P55" s="105"/>
      <c r="Q55" s="105"/>
      <c r="R55" s="100" t="str">
        <f aca="false">IF(B55="","",A55&amp;" · "&amp;B55)</f>
        <v/>
      </c>
    </row>
    <row r="56" customFormat="false" ht="15" hidden="false" customHeight="false" outlineLevel="0" collapsed="false">
      <c r="A56" s="101" t="s">
        <v>1274</v>
      </c>
      <c r="B56" s="102"/>
      <c r="C56" s="102"/>
      <c r="D56" s="102"/>
      <c r="E56" s="103"/>
      <c r="F56" s="102"/>
      <c r="G56" s="103"/>
      <c r="H56" s="103"/>
      <c r="I56" s="96" t="str">
        <f aca="false">IF(OR(G56="",H56=""),"",G56*H56)</f>
        <v/>
      </c>
      <c r="J56" s="99" t="str">
        <f aca="false">IF(I56="","",IF(I56&gt;=15,"Crítica",IF(I56&gt;=9,"Alta",IF(I56&gt;=4,"Média","Baixa"))))</f>
        <v/>
      </c>
      <c r="K56" s="102"/>
      <c r="L56" s="102"/>
      <c r="M56" s="103"/>
      <c r="N56" s="96" t="str">
        <f aca="false">IF(B56="","",COUNTIF('Inova - Soluções'!$C$5:$C$500,A56&amp;"*"))</f>
        <v/>
      </c>
      <c r="O56" s="104"/>
      <c r="P56" s="102"/>
      <c r="Q56" s="102"/>
      <c r="R56" s="100" t="str">
        <f aca="false">IF(B56="","",A56&amp;" · "&amp;B56)</f>
        <v/>
      </c>
    </row>
    <row r="57" customFormat="false" ht="15" hidden="false" customHeight="false" outlineLevel="0" collapsed="false">
      <c r="A57" s="93" t="s">
        <v>1275</v>
      </c>
      <c r="B57" s="105"/>
      <c r="C57" s="105"/>
      <c r="D57" s="105"/>
      <c r="E57" s="106"/>
      <c r="F57" s="105"/>
      <c r="G57" s="106"/>
      <c r="H57" s="106"/>
      <c r="I57" s="96" t="str">
        <f aca="false">IF(OR(G57="",H57=""),"",G57*H57)</f>
        <v/>
      </c>
      <c r="J57" s="99" t="str">
        <f aca="false">IF(I57="","",IF(I57&gt;=15,"Crítica",IF(I57&gt;=9,"Alta",IF(I57&gt;=4,"Média","Baixa"))))</f>
        <v/>
      </c>
      <c r="K57" s="105"/>
      <c r="L57" s="105"/>
      <c r="M57" s="106"/>
      <c r="N57" s="96" t="str">
        <f aca="false">IF(B57="","",COUNTIF('Inova - Soluções'!$C$5:$C$500,A57&amp;"*"))</f>
        <v/>
      </c>
      <c r="O57" s="107"/>
      <c r="P57" s="105"/>
      <c r="Q57" s="105"/>
      <c r="R57" s="100" t="str">
        <f aca="false">IF(B57="","",A57&amp;" · "&amp;B57)</f>
        <v/>
      </c>
    </row>
    <row r="58" customFormat="false" ht="15" hidden="false" customHeight="false" outlineLevel="0" collapsed="false">
      <c r="A58" s="101" t="s">
        <v>1276</v>
      </c>
      <c r="B58" s="102"/>
      <c r="C58" s="102"/>
      <c r="D58" s="102"/>
      <c r="E58" s="103"/>
      <c r="F58" s="102"/>
      <c r="G58" s="103"/>
      <c r="H58" s="103"/>
      <c r="I58" s="96" t="str">
        <f aca="false">IF(OR(G58="",H58=""),"",G58*H58)</f>
        <v/>
      </c>
      <c r="J58" s="99" t="str">
        <f aca="false">IF(I58="","",IF(I58&gt;=15,"Crítica",IF(I58&gt;=9,"Alta",IF(I58&gt;=4,"Média","Baixa"))))</f>
        <v/>
      </c>
      <c r="K58" s="102"/>
      <c r="L58" s="102"/>
      <c r="M58" s="103"/>
      <c r="N58" s="96" t="str">
        <f aca="false">IF(B58="","",COUNTIF('Inova - Soluções'!$C$5:$C$500,A58&amp;"*"))</f>
        <v/>
      </c>
      <c r="O58" s="104"/>
      <c r="P58" s="102"/>
      <c r="Q58" s="102"/>
      <c r="R58" s="100" t="str">
        <f aca="false">IF(B58="","",A58&amp;" · "&amp;B58)</f>
        <v/>
      </c>
    </row>
    <row r="59" customFormat="false" ht="15" hidden="false" customHeight="false" outlineLevel="0" collapsed="false">
      <c r="A59" s="93" t="s">
        <v>1277</v>
      </c>
      <c r="B59" s="105"/>
      <c r="C59" s="105"/>
      <c r="D59" s="105"/>
      <c r="E59" s="106"/>
      <c r="F59" s="105"/>
      <c r="G59" s="106"/>
      <c r="H59" s="106"/>
      <c r="I59" s="96" t="str">
        <f aca="false">IF(OR(G59="",H59=""),"",G59*H59)</f>
        <v/>
      </c>
      <c r="J59" s="99" t="str">
        <f aca="false">IF(I59="","",IF(I59&gt;=15,"Crítica",IF(I59&gt;=9,"Alta",IF(I59&gt;=4,"Média","Baixa"))))</f>
        <v/>
      </c>
      <c r="K59" s="105"/>
      <c r="L59" s="105"/>
      <c r="M59" s="106"/>
      <c r="N59" s="96" t="str">
        <f aca="false">IF(B59="","",COUNTIF('Inova - Soluções'!$C$5:$C$500,A59&amp;"*"))</f>
        <v/>
      </c>
      <c r="O59" s="107"/>
      <c r="P59" s="105"/>
      <c r="Q59" s="105"/>
      <c r="R59" s="100" t="str">
        <f aca="false">IF(B59="","",A59&amp;" · "&amp;B59)</f>
        <v/>
      </c>
    </row>
    <row r="60" customFormat="false" ht="15" hidden="false" customHeight="false" outlineLevel="0" collapsed="false">
      <c r="A60" s="101" t="s">
        <v>1278</v>
      </c>
      <c r="B60" s="102"/>
      <c r="C60" s="102"/>
      <c r="D60" s="102"/>
      <c r="E60" s="103"/>
      <c r="F60" s="102"/>
      <c r="G60" s="103"/>
      <c r="H60" s="103"/>
      <c r="I60" s="96" t="str">
        <f aca="false">IF(OR(G60="",H60=""),"",G60*H60)</f>
        <v/>
      </c>
      <c r="J60" s="99" t="str">
        <f aca="false">IF(I60="","",IF(I60&gt;=15,"Crítica",IF(I60&gt;=9,"Alta",IF(I60&gt;=4,"Média","Baixa"))))</f>
        <v/>
      </c>
      <c r="K60" s="102"/>
      <c r="L60" s="102"/>
      <c r="M60" s="103"/>
      <c r="N60" s="96" t="str">
        <f aca="false">IF(B60="","",COUNTIF('Inova - Soluções'!$C$5:$C$500,A60&amp;"*"))</f>
        <v/>
      </c>
      <c r="O60" s="104"/>
      <c r="P60" s="102"/>
      <c r="Q60" s="102"/>
      <c r="R60" s="100" t="str">
        <f aca="false">IF(B60="","",A60&amp;" · "&amp;B60)</f>
        <v/>
      </c>
    </row>
    <row r="61" customFormat="false" ht="15" hidden="false" customHeight="false" outlineLevel="0" collapsed="false">
      <c r="A61" s="93" t="s">
        <v>1279</v>
      </c>
      <c r="B61" s="105"/>
      <c r="C61" s="105"/>
      <c r="D61" s="105"/>
      <c r="E61" s="106"/>
      <c r="F61" s="105"/>
      <c r="G61" s="106"/>
      <c r="H61" s="106"/>
      <c r="I61" s="96" t="str">
        <f aca="false">IF(OR(G61="",H61=""),"",G61*H61)</f>
        <v/>
      </c>
      <c r="J61" s="99" t="str">
        <f aca="false">IF(I61="","",IF(I61&gt;=15,"Crítica",IF(I61&gt;=9,"Alta",IF(I61&gt;=4,"Média","Baixa"))))</f>
        <v/>
      </c>
      <c r="K61" s="105"/>
      <c r="L61" s="105"/>
      <c r="M61" s="106"/>
      <c r="N61" s="96" t="str">
        <f aca="false">IF(B61="","",COUNTIF('Inova - Soluções'!$C$5:$C$500,A61&amp;"*"))</f>
        <v/>
      </c>
      <c r="O61" s="107"/>
      <c r="P61" s="105"/>
      <c r="Q61" s="105"/>
      <c r="R61" s="100" t="str">
        <f aca="false">IF(B61="","",A61&amp;" · "&amp;B61)</f>
        <v/>
      </c>
    </row>
    <row r="62" customFormat="false" ht="15" hidden="false" customHeight="false" outlineLevel="0" collapsed="false">
      <c r="A62" s="101" t="s">
        <v>1280</v>
      </c>
      <c r="B62" s="102"/>
      <c r="C62" s="102"/>
      <c r="D62" s="102"/>
      <c r="E62" s="103"/>
      <c r="F62" s="102"/>
      <c r="G62" s="103"/>
      <c r="H62" s="103"/>
      <c r="I62" s="96" t="str">
        <f aca="false">IF(OR(G62="",H62=""),"",G62*H62)</f>
        <v/>
      </c>
      <c r="J62" s="99" t="str">
        <f aca="false">IF(I62="","",IF(I62&gt;=15,"Crítica",IF(I62&gt;=9,"Alta",IF(I62&gt;=4,"Média","Baixa"))))</f>
        <v/>
      </c>
      <c r="K62" s="102"/>
      <c r="L62" s="102"/>
      <c r="M62" s="103"/>
      <c r="N62" s="96" t="str">
        <f aca="false">IF(B62="","",COUNTIF('Inova - Soluções'!$C$5:$C$500,A62&amp;"*"))</f>
        <v/>
      </c>
      <c r="O62" s="104"/>
      <c r="P62" s="102"/>
      <c r="Q62" s="102"/>
      <c r="R62" s="100" t="str">
        <f aca="false">IF(B62="","",A62&amp;" · "&amp;B62)</f>
        <v/>
      </c>
    </row>
    <row r="63" customFormat="false" ht="15" hidden="false" customHeight="false" outlineLevel="0" collapsed="false">
      <c r="A63" s="93" t="s">
        <v>1281</v>
      </c>
      <c r="B63" s="105"/>
      <c r="C63" s="105"/>
      <c r="D63" s="105"/>
      <c r="E63" s="106"/>
      <c r="F63" s="105"/>
      <c r="G63" s="106"/>
      <c r="H63" s="106"/>
      <c r="I63" s="96" t="str">
        <f aca="false">IF(OR(G63="",H63=""),"",G63*H63)</f>
        <v/>
      </c>
      <c r="J63" s="99" t="str">
        <f aca="false">IF(I63="","",IF(I63&gt;=15,"Crítica",IF(I63&gt;=9,"Alta",IF(I63&gt;=4,"Média","Baixa"))))</f>
        <v/>
      </c>
      <c r="K63" s="105"/>
      <c r="L63" s="105"/>
      <c r="M63" s="106"/>
      <c r="N63" s="96" t="str">
        <f aca="false">IF(B63="","",COUNTIF('Inova - Soluções'!$C$5:$C$500,A63&amp;"*"))</f>
        <v/>
      </c>
      <c r="O63" s="107"/>
      <c r="P63" s="105"/>
      <c r="Q63" s="105"/>
      <c r="R63" s="100" t="str">
        <f aca="false">IF(B63="","",A63&amp;" · "&amp;B63)</f>
        <v/>
      </c>
    </row>
    <row r="64" customFormat="false" ht="15" hidden="false" customHeight="false" outlineLevel="0" collapsed="false">
      <c r="A64" s="101" t="s">
        <v>1282</v>
      </c>
      <c r="B64" s="102"/>
      <c r="C64" s="102"/>
      <c r="D64" s="102"/>
      <c r="E64" s="103"/>
      <c r="F64" s="102"/>
      <c r="G64" s="103"/>
      <c r="H64" s="103"/>
      <c r="I64" s="96" t="str">
        <f aca="false">IF(OR(G64="",H64=""),"",G64*H64)</f>
        <v/>
      </c>
      <c r="J64" s="99" t="str">
        <f aca="false">IF(I64="","",IF(I64&gt;=15,"Crítica",IF(I64&gt;=9,"Alta",IF(I64&gt;=4,"Média","Baixa"))))</f>
        <v/>
      </c>
      <c r="K64" s="102"/>
      <c r="L64" s="102"/>
      <c r="M64" s="103"/>
      <c r="N64" s="96" t="str">
        <f aca="false">IF(B64="","",COUNTIF('Inova - Soluções'!$C$5:$C$500,A64&amp;"*"))</f>
        <v/>
      </c>
      <c r="O64" s="104"/>
      <c r="P64" s="102"/>
      <c r="Q64" s="102"/>
      <c r="R64" s="100" t="str">
        <f aca="false">IF(B64="","",A64&amp;" · "&amp;B64)</f>
        <v/>
      </c>
    </row>
    <row r="65" customFormat="false" ht="15" hidden="false" customHeight="false" outlineLevel="0" collapsed="false">
      <c r="A65" s="93" t="s">
        <v>1283</v>
      </c>
      <c r="B65" s="105"/>
      <c r="C65" s="105"/>
      <c r="D65" s="105"/>
      <c r="E65" s="106"/>
      <c r="F65" s="105"/>
      <c r="G65" s="106"/>
      <c r="H65" s="106"/>
      <c r="I65" s="96" t="str">
        <f aca="false">IF(OR(G65="",H65=""),"",G65*H65)</f>
        <v/>
      </c>
      <c r="J65" s="99" t="str">
        <f aca="false">IF(I65="","",IF(I65&gt;=15,"Crítica",IF(I65&gt;=9,"Alta",IF(I65&gt;=4,"Média","Baixa"))))</f>
        <v/>
      </c>
      <c r="K65" s="105"/>
      <c r="L65" s="105"/>
      <c r="M65" s="106"/>
      <c r="N65" s="96" t="str">
        <f aca="false">IF(B65="","",COUNTIF('Inova - Soluções'!$C$5:$C$500,A65&amp;"*"))</f>
        <v/>
      </c>
      <c r="O65" s="107"/>
      <c r="P65" s="105"/>
      <c r="Q65" s="105"/>
      <c r="R65" s="100" t="str">
        <f aca="false">IF(B65="","",A65&amp;" · "&amp;B65)</f>
        <v/>
      </c>
    </row>
    <row r="66" customFormat="false" ht="15" hidden="false" customHeight="false" outlineLevel="0" collapsed="false">
      <c r="A66" s="101" t="s">
        <v>1284</v>
      </c>
      <c r="B66" s="102"/>
      <c r="C66" s="102"/>
      <c r="D66" s="102"/>
      <c r="E66" s="103"/>
      <c r="F66" s="102"/>
      <c r="G66" s="103"/>
      <c r="H66" s="103"/>
      <c r="I66" s="96" t="str">
        <f aca="false">IF(OR(G66="",H66=""),"",G66*H66)</f>
        <v/>
      </c>
      <c r="J66" s="99" t="str">
        <f aca="false">IF(I66="","",IF(I66&gt;=15,"Crítica",IF(I66&gt;=9,"Alta",IF(I66&gt;=4,"Média","Baixa"))))</f>
        <v/>
      </c>
      <c r="K66" s="102"/>
      <c r="L66" s="102"/>
      <c r="M66" s="103"/>
      <c r="N66" s="96" t="str">
        <f aca="false">IF(B66="","",COUNTIF('Inova - Soluções'!$C$5:$C$500,A66&amp;"*"))</f>
        <v/>
      </c>
      <c r="O66" s="104"/>
      <c r="P66" s="102"/>
      <c r="Q66" s="102"/>
      <c r="R66" s="100" t="str">
        <f aca="false">IF(B66="","",A66&amp;" · "&amp;B66)</f>
        <v/>
      </c>
    </row>
    <row r="67" customFormat="false" ht="15" hidden="false" customHeight="false" outlineLevel="0" collapsed="false">
      <c r="A67" s="93" t="s">
        <v>1285</v>
      </c>
      <c r="B67" s="105"/>
      <c r="C67" s="105"/>
      <c r="D67" s="105"/>
      <c r="E67" s="106"/>
      <c r="F67" s="105"/>
      <c r="G67" s="106"/>
      <c r="H67" s="106"/>
      <c r="I67" s="96" t="str">
        <f aca="false">IF(OR(G67="",H67=""),"",G67*H67)</f>
        <v/>
      </c>
      <c r="J67" s="99" t="str">
        <f aca="false">IF(I67="","",IF(I67&gt;=15,"Crítica",IF(I67&gt;=9,"Alta",IF(I67&gt;=4,"Média","Baixa"))))</f>
        <v/>
      </c>
      <c r="K67" s="105"/>
      <c r="L67" s="105"/>
      <c r="M67" s="106"/>
      <c r="N67" s="96" t="str">
        <f aca="false">IF(B67="","",COUNTIF('Inova - Soluções'!$C$5:$C$500,A67&amp;"*"))</f>
        <v/>
      </c>
      <c r="O67" s="107"/>
      <c r="P67" s="105"/>
      <c r="Q67" s="105"/>
      <c r="R67" s="100" t="str">
        <f aca="false">IF(B67="","",A67&amp;" · "&amp;B67)</f>
        <v/>
      </c>
    </row>
    <row r="68" customFormat="false" ht="15" hidden="false" customHeight="false" outlineLevel="0" collapsed="false">
      <c r="A68" s="101" t="s">
        <v>1286</v>
      </c>
      <c r="B68" s="102"/>
      <c r="C68" s="102"/>
      <c r="D68" s="102"/>
      <c r="E68" s="103"/>
      <c r="F68" s="102"/>
      <c r="G68" s="103"/>
      <c r="H68" s="103"/>
      <c r="I68" s="96" t="str">
        <f aca="false">IF(OR(G68="",H68=""),"",G68*H68)</f>
        <v/>
      </c>
      <c r="J68" s="99" t="str">
        <f aca="false">IF(I68="","",IF(I68&gt;=15,"Crítica",IF(I68&gt;=9,"Alta",IF(I68&gt;=4,"Média","Baixa"))))</f>
        <v/>
      </c>
      <c r="K68" s="102"/>
      <c r="L68" s="102"/>
      <c r="M68" s="103"/>
      <c r="N68" s="96" t="str">
        <f aca="false">IF(B68="","",COUNTIF('Inova - Soluções'!$C$5:$C$500,A68&amp;"*"))</f>
        <v/>
      </c>
      <c r="O68" s="104"/>
      <c r="P68" s="102"/>
      <c r="Q68" s="102"/>
      <c r="R68" s="100" t="str">
        <f aca="false">IF(B68="","",A68&amp;" · "&amp;B68)</f>
        <v/>
      </c>
    </row>
    <row r="69" customFormat="false" ht="15" hidden="false" customHeight="false" outlineLevel="0" collapsed="false">
      <c r="A69" s="93" t="s">
        <v>1287</v>
      </c>
      <c r="B69" s="105"/>
      <c r="C69" s="105"/>
      <c r="D69" s="105"/>
      <c r="E69" s="106"/>
      <c r="F69" s="105"/>
      <c r="G69" s="106"/>
      <c r="H69" s="106"/>
      <c r="I69" s="96" t="str">
        <f aca="false">IF(OR(G69="",H69=""),"",G69*H69)</f>
        <v/>
      </c>
      <c r="J69" s="99" t="str">
        <f aca="false">IF(I69="","",IF(I69&gt;=15,"Crítica",IF(I69&gt;=9,"Alta",IF(I69&gt;=4,"Média","Baixa"))))</f>
        <v/>
      </c>
      <c r="K69" s="105"/>
      <c r="L69" s="105"/>
      <c r="M69" s="106"/>
      <c r="N69" s="96" t="str">
        <f aca="false">IF(B69="","",COUNTIF('Inova - Soluções'!$C$5:$C$500,A69&amp;"*"))</f>
        <v/>
      </c>
      <c r="O69" s="107"/>
      <c r="P69" s="105"/>
      <c r="Q69" s="105"/>
      <c r="R69" s="100" t="str">
        <f aca="false">IF(B69="","",A69&amp;" · "&amp;B69)</f>
        <v/>
      </c>
    </row>
    <row r="70" customFormat="false" ht="15" hidden="false" customHeight="false" outlineLevel="0" collapsed="false">
      <c r="A70" s="101" t="s">
        <v>1288</v>
      </c>
      <c r="B70" s="102"/>
      <c r="C70" s="102"/>
      <c r="D70" s="102"/>
      <c r="E70" s="103"/>
      <c r="F70" s="102"/>
      <c r="G70" s="103"/>
      <c r="H70" s="103"/>
      <c r="I70" s="96" t="str">
        <f aca="false">IF(OR(G70="",H70=""),"",G70*H70)</f>
        <v/>
      </c>
      <c r="J70" s="99" t="str">
        <f aca="false">IF(I70="","",IF(I70&gt;=15,"Crítica",IF(I70&gt;=9,"Alta",IF(I70&gt;=4,"Média","Baixa"))))</f>
        <v/>
      </c>
      <c r="K70" s="102"/>
      <c r="L70" s="102"/>
      <c r="M70" s="103"/>
      <c r="N70" s="96" t="str">
        <f aca="false">IF(B70="","",COUNTIF('Inova - Soluções'!$C$5:$C$500,A70&amp;"*"))</f>
        <v/>
      </c>
      <c r="O70" s="104"/>
      <c r="P70" s="102"/>
      <c r="Q70" s="102"/>
      <c r="R70" s="100" t="str">
        <f aca="false">IF(B70="","",A70&amp;" · "&amp;B70)</f>
        <v/>
      </c>
    </row>
    <row r="71" customFormat="false" ht="15" hidden="false" customHeight="false" outlineLevel="0" collapsed="false">
      <c r="A71" s="93" t="s">
        <v>1289</v>
      </c>
      <c r="B71" s="105"/>
      <c r="C71" s="105"/>
      <c r="D71" s="105"/>
      <c r="E71" s="106"/>
      <c r="F71" s="105"/>
      <c r="G71" s="106"/>
      <c r="H71" s="106"/>
      <c r="I71" s="96" t="str">
        <f aca="false">IF(OR(G71="",H71=""),"",G71*H71)</f>
        <v/>
      </c>
      <c r="J71" s="99" t="str">
        <f aca="false">IF(I71="","",IF(I71&gt;=15,"Crítica",IF(I71&gt;=9,"Alta",IF(I71&gt;=4,"Média","Baixa"))))</f>
        <v/>
      </c>
      <c r="K71" s="105"/>
      <c r="L71" s="105"/>
      <c r="M71" s="106"/>
      <c r="N71" s="96" t="str">
        <f aca="false">IF(B71="","",COUNTIF('Inova - Soluções'!$C$5:$C$500,A71&amp;"*"))</f>
        <v/>
      </c>
      <c r="O71" s="107"/>
      <c r="P71" s="105"/>
      <c r="Q71" s="105"/>
      <c r="R71" s="100" t="str">
        <f aca="false">IF(B71="","",A71&amp;" · "&amp;B71)</f>
        <v/>
      </c>
    </row>
    <row r="72" customFormat="false" ht="15" hidden="false" customHeight="false" outlineLevel="0" collapsed="false">
      <c r="A72" s="101" t="s">
        <v>1290</v>
      </c>
      <c r="B72" s="102"/>
      <c r="C72" s="102"/>
      <c r="D72" s="102"/>
      <c r="E72" s="103"/>
      <c r="F72" s="102"/>
      <c r="G72" s="103"/>
      <c r="H72" s="103"/>
      <c r="I72" s="96" t="str">
        <f aca="false">IF(OR(G72="",H72=""),"",G72*H72)</f>
        <v/>
      </c>
      <c r="J72" s="99" t="str">
        <f aca="false">IF(I72="","",IF(I72&gt;=15,"Crítica",IF(I72&gt;=9,"Alta",IF(I72&gt;=4,"Média","Baixa"))))</f>
        <v/>
      </c>
      <c r="K72" s="102"/>
      <c r="L72" s="102"/>
      <c r="M72" s="103"/>
      <c r="N72" s="96" t="str">
        <f aca="false">IF(B72="","",COUNTIF('Inova - Soluções'!$C$5:$C$500,A72&amp;"*"))</f>
        <v/>
      </c>
      <c r="O72" s="104"/>
      <c r="P72" s="102"/>
      <c r="Q72" s="102"/>
      <c r="R72" s="100" t="str">
        <f aca="false">IF(B72="","",A72&amp;" · "&amp;B72)</f>
        <v/>
      </c>
    </row>
    <row r="73" customFormat="false" ht="15" hidden="false" customHeight="false" outlineLevel="0" collapsed="false">
      <c r="A73" s="93" t="s">
        <v>1291</v>
      </c>
      <c r="B73" s="105"/>
      <c r="C73" s="105"/>
      <c r="D73" s="105"/>
      <c r="E73" s="106"/>
      <c r="F73" s="105"/>
      <c r="G73" s="106"/>
      <c r="H73" s="106"/>
      <c r="I73" s="96" t="str">
        <f aca="false">IF(OR(G73="",H73=""),"",G73*H73)</f>
        <v/>
      </c>
      <c r="J73" s="99" t="str">
        <f aca="false">IF(I73="","",IF(I73&gt;=15,"Crítica",IF(I73&gt;=9,"Alta",IF(I73&gt;=4,"Média","Baixa"))))</f>
        <v/>
      </c>
      <c r="K73" s="105"/>
      <c r="L73" s="105"/>
      <c r="M73" s="106"/>
      <c r="N73" s="96" t="str">
        <f aca="false">IF(B73="","",COUNTIF('Inova - Soluções'!$C$5:$C$500,A73&amp;"*"))</f>
        <v/>
      </c>
      <c r="O73" s="107"/>
      <c r="P73" s="105"/>
      <c r="Q73" s="105"/>
      <c r="R73" s="100" t="str">
        <f aca="false">IF(B73="","",A73&amp;" · "&amp;B73)</f>
        <v/>
      </c>
    </row>
    <row r="74" customFormat="false" ht="15" hidden="false" customHeight="false" outlineLevel="0" collapsed="false">
      <c r="A74" s="101" t="s">
        <v>1292</v>
      </c>
      <c r="B74" s="102"/>
      <c r="C74" s="102"/>
      <c r="D74" s="102"/>
      <c r="E74" s="103"/>
      <c r="F74" s="102"/>
      <c r="G74" s="103"/>
      <c r="H74" s="103"/>
      <c r="I74" s="96" t="str">
        <f aca="false">IF(OR(G74="",H74=""),"",G74*H74)</f>
        <v/>
      </c>
      <c r="J74" s="99" t="str">
        <f aca="false">IF(I74="","",IF(I74&gt;=15,"Crítica",IF(I74&gt;=9,"Alta",IF(I74&gt;=4,"Média","Baixa"))))</f>
        <v/>
      </c>
      <c r="K74" s="102"/>
      <c r="L74" s="102"/>
      <c r="M74" s="103"/>
      <c r="N74" s="96" t="str">
        <f aca="false">IF(B74="","",COUNTIF('Inova - Soluções'!$C$5:$C$500,A74&amp;"*"))</f>
        <v/>
      </c>
      <c r="O74" s="104"/>
      <c r="P74" s="102"/>
      <c r="Q74" s="102"/>
      <c r="R74" s="100" t="str">
        <f aca="false">IF(B74="","",A74&amp;" · "&amp;B74)</f>
        <v/>
      </c>
    </row>
    <row r="75" customFormat="false" ht="15" hidden="false" customHeight="false" outlineLevel="0" collapsed="false">
      <c r="A75" s="93" t="s">
        <v>1293</v>
      </c>
      <c r="B75" s="105"/>
      <c r="C75" s="105"/>
      <c r="D75" s="105"/>
      <c r="E75" s="106"/>
      <c r="F75" s="105"/>
      <c r="G75" s="106"/>
      <c r="H75" s="106"/>
      <c r="I75" s="96" t="str">
        <f aca="false">IF(OR(G75="",H75=""),"",G75*H75)</f>
        <v/>
      </c>
      <c r="J75" s="99" t="str">
        <f aca="false">IF(I75="","",IF(I75&gt;=15,"Crítica",IF(I75&gt;=9,"Alta",IF(I75&gt;=4,"Média","Baixa"))))</f>
        <v/>
      </c>
      <c r="K75" s="105"/>
      <c r="L75" s="105"/>
      <c r="M75" s="106"/>
      <c r="N75" s="96" t="str">
        <f aca="false">IF(B75="","",COUNTIF('Inova - Soluções'!$C$5:$C$500,A75&amp;"*"))</f>
        <v/>
      </c>
      <c r="O75" s="107"/>
      <c r="P75" s="105"/>
      <c r="Q75" s="105"/>
      <c r="R75" s="100" t="str">
        <f aca="false">IF(B75="","",A75&amp;" · "&amp;B75)</f>
        <v/>
      </c>
    </row>
    <row r="76" customFormat="false" ht="15" hidden="false" customHeight="false" outlineLevel="0" collapsed="false">
      <c r="A76" s="101" t="s">
        <v>1294</v>
      </c>
      <c r="B76" s="102"/>
      <c r="C76" s="102"/>
      <c r="D76" s="102"/>
      <c r="E76" s="103"/>
      <c r="F76" s="102"/>
      <c r="G76" s="103"/>
      <c r="H76" s="103"/>
      <c r="I76" s="96" t="str">
        <f aca="false">IF(OR(G76="",H76=""),"",G76*H76)</f>
        <v/>
      </c>
      <c r="J76" s="99" t="str">
        <f aca="false">IF(I76="","",IF(I76&gt;=15,"Crítica",IF(I76&gt;=9,"Alta",IF(I76&gt;=4,"Média","Baixa"))))</f>
        <v/>
      </c>
      <c r="K76" s="102"/>
      <c r="L76" s="102"/>
      <c r="M76" s="103"/>
      <c r="N76" s="96" t="str">
        <f aca="false">IF(B76="","",COUNTIF('Inova - Soluções'!$C$5:$C$500,A76&amp;"*"))</f>
        <v/>
      </c>
      <c r="O76" s="104"/>
      <c r="P76" s="102"/>
      <c r="Q76" s="102"/>
      <c r="R76" s="100" t="str">
        <f aca="false">IF(B76="","",A76&amp;" · "&amp;B76)</f>
        <v/>
      </c>
    </row>
    <row r="77" customFormat="false" ht="15" hidden="false" customHeight="false" outlineLevel="0" collapsed="false">
      <c r="A77" s="93" t="s">
        <v>1295</v>
      </c>
      <c r="B77" s="105"/>
      <c r="C77" s="105"/>
      <c r="D77" s="105"/>
      <c r="E77" s="106"/>
      <c r="F77" s="105"/>
      <c r="G77" s="106"/>
      <c r="H77" s="106"/>
      <c r="I77" s="96" t="str">
        <f aca="false">IF(OR(G77="",H77=""),"",G77*H77)</f>
        <v/>
      </c>
      <c r="J77" s="99" t="str">
        <f aca="false">IF(I77="","",IF(I77&gt;=15,"Crítica",IF(I77&gt;=9,"Alta",IF(I77&gt;=4,"Média","Baixa"))))</f>
        <v/>
      </c>
      <c r="K77" s="105"/>
      <c r="L77" s="105"/>
      <c r="M77" s="106"/>
      <c r="N77" s="96" t="str">
        <f aca="false">IF(B77="","",COUNTIF('Inova - Soluções'!$C$5:$C$500,A77&amp;"*"))</f>
        <v/>
      </c>
      <c r="O77" s="107"/>
      <c r="P77" s="105"/>
      <c r="Q77" s="105"/>
      <c r="R77" s="100" t="str">
        <f aca="false">IF(B77="","",A77&amp;" · "&amp;B77)</f>
        <v/>
      </c>
    </row>
    <row r="78" customFormat="false" ht="15" hidden="false" customHeight="false" outlineLevel="0" collapsed="false">
      <c r="A78" s="101" t="s">
        <v>1296</v>
      </c>
      <c r="B78" s="102"/>
      <c r="C78" s="102"/>
      <c r="D78" s="102"/>
      <c r="E78" s="103"/>
      <c r="F78" s="102"/>
      <c r="G78" s="103"/>
      <c r="H78" s="103"/>
      <c r="I78" s="96" t="str">
        <f aca="false">IF(OR(G78="",H78=""),"",G78*H78)</f>
        <v/>
      </c>
      <c r="J78" s="99" t="str">
        <f aca="false">IF(I78="","",IF(I78&gt;=15,"Crítica",IF(I78&gt;=9,"Alta",IF(I78&gt;=4,"Média","Baixa"))))</f>
        <v/>
      </c>
      <c r="K78" s="102"/>
      <c r="L78" s="102"/>
      <c r="M78" s="103"/>
      <c r="N78" s="96" t="str">
        <f aca="false">IF(B78="","",COUNTIF('Inova - Soluções'!$C$5:$C$500,A78&amp;"*"))</f>
        <v/>
      </c>
      <c r="O78" s="104"/>
      <c r="P78" s="102"/>
      <c r="Q78" s="102"/>
      <c r="R78" s="100" t="str">
        <f aca="false">IF(B78="","",A78&amp;" · "&amp;B78)</f>
        <v/>
      </c>
    </row>
    <row r="79" customFormat="false" ht="15" hidden="false" customHeight="false" outlineLevel="0" collapsed="false">
      <c r="A79" s="93" t="s">
        <v>1297</v>
      </c>
      <c r="B79" s="105"/>
      <c r="C79" s="105"/>
      <c r="D79" s="105"/>
      <c r="E79" s="106"/>
      <c r="F79" s="105"/>
      <c r="G79" s="106"/>
      <c r="H79" s="106"/>
      <c r="I79" s="96" t="str">
        <f aca="false">IF(OR(G79="",H79=""),"",G79*H79)</f>
        <v/>
      </c>
      <c r="J79" s="99" t="str">
        <f aca="false">IF(I79="","",IF(I79&gt;=15,"Crítica",IF(I79&gt;=9,"Alta",IF(I79&gt;=4,"Média","Baixa"))))</f>
        <v/>
      </c>
      <c r="K79" s="105"/>
      <c r="L79" s="105"/>
      <c r="M79" s="106"/>
      <c r="N79" s="96" t="str">
        <f aca="false">IF(B79="","",COUNTIF('Inova - Soluções'!$C$5:$C$500,A79&amp;"*"))</f>
        <v/>
      </c>
      <c r="O79" s="107"/>
      <c r="P79" s="105"/>
      <c r="Q79" s="105"/>
      <c r="R79" s="100" t="str">
        <f aca="false">IF(B79="","",A79&amp;" · "&amp;B79)</f>
        <v/>
      </c>
    </row>
    <row r="80" customFormat="false" ht="15" hidden="false" customHeight="false" outlineLevel="0" collapsed="false">
      <c r="A80" s="101" t="s">
        <v>1298</v>
      </c>
      <c r="B80" s="102"/>
      <c r="C80" s="102"/>
      <c r="D80" s="102"/>
      <c r="E80" s="103"/>
      <c r="F80" s="102"/>
      <c r="G80" s="103"/>
      <c r="H80" s="103"/>
      <c r="I80" s="96" t="str">
        <f aca="false">IF(OR(G80="",H80=""),"",G80*H80)</f>
        <v/>
      </c>
      <c r="J80" s="99" t="str">
        <f aca="false">IF(I80="","",IF(I80&gt;=15,"Crítica",IF(I80&gt;=9,"Alta",IF(I80&gt;=4,"Média","Baixa"))))</f>
        <v/>
      </c>
      <c r="K80" s="102"/>
      <c r="L80" s="102"/>
      <c r="M80" s="103"/>
      <c r="N80" s="96" t="str">
        <f aca="false">IF(B80="","",COUNTIF('Inova - Soluções'!$C$5:$C$500,A80&amp;"*"))</f>
        <v/>
      </c>
      <c r="O80" s="104"/>
      <c r="P80" s="102"/>
      <c r="Q80" s="102"/>
      <c r="R80" s="100" t="str">
        <f aca="false">IF(B80="","",A80&amp;" · "&amp;B80)</f>
        <v/>
      </c>
    </row>
    <row r="81" customFormat="false" ht="15" hidden="false" customHeight="false" outlineLevel="0" collapsed="false">
      <c r="A81" s="93" t="s">
        <v>1299</v>
      </c>
      <c r="B81" s="105"/>
      <c r="C81" s="105"/>
      <c r="D81" s="105"/>
      <c r="E81" s="106"/>
      <c r="F81" s="105"/>
      <c r="G81" s="106"/>
      <c r="H81" s="106"/>
      <c r="I81" s="96" t="str">
        <f aca="false">IF(OR(G81="",H81=""),"",G81*H81)</f>
        <v/>
      </c>
      <c r="J81" s="99" t="str">
        <f aca="false">IF(I81="","",IF(I81&gt;=15,"Crítica",IF(I81&gt;=9,"Alta",IF(I81&gt;=4,"Média","Baixa"))))</f>
        <v/>
      </c>
      <c r="K81" s="105"/>
      <c r="L81" s="105"/>
      <c r="M81" s="106"/>
      <c r="N81" s="96" t="str">
        <f aca="false">IF(B81="","",COUNTIF('Inova - Soluções'!$C$5:$C$500,A81&amp;"*"))</f>
        <v/>
      </c>
      <c r="O81" s="107"/>
      <c r="P81" s="105"/>
      <c r="Q81" s="105"/>
      <c r="R81" s="100" t="str">
        <f aca="false">IF(B81="","",A81&amp;" · "&amp;B81)</f>
        <v/>
      </c>
    </row>
    <row r="82" customFormat="false" ht="15" hidden="false" customHeight="false" outlineLevel="0" collapsed="false">
      <c r="A82" s="101" t="s">
        <v>1300</v>
      </c>
      <c r="B82" s="102"/>
      <c r="C82" s="102"/>
      <c r="D82" s="102"/>
      <c r="E82" s="103"/>
      <c r="F82" s="102"/>
      <c r="G82" s="103"/>
      <c r="H82" s="103"/>
      <c r="I82" s="96" t="str">
        <f aca="false">IF(OR(G82="",H82=""),"",G82*H82)</f>
        <v/>
      </c>
      <c r="J82" s="99" t="str">
        <f aca="false">IF(I82="","",IF(I82&gt;=15,"Crítica",IF(I82&gt;=9,"Alta",IF(I82&gt;=4,"Média","Baixa"))))</f>
        <v/>
      </c>
      <c r="K82" s="102"/>
      <c r="L82" s="102"/>
      <c r="M82" s="103"/>
      <c r="N82" s="96" t="str">
        <f aca="false">IF(B82="","",COUNTIF('Inova - Soluções'!$C$5:$C$500,A82&amp;"*"))</f>
        <v/>
      </c>
      <c r="O82" s="104"/>
      <c r="P82" s="102"/>
      <c r="Q82" s="102"/>
      <c r="R82" s="100" t="str">
        <f aca="false">IF(B82="","",A82&amp;" · "&amp;B82)</f>
        <v/>
      </c>
    </row>
    <row r="83" customFormat="false" ht="15" hidden="false" customHeight="false" outlineLevel="0" collapsed="false">
      <c r="A83" s="93" t="s">
        <v>1301</v>
      </c>
      <c r="B83" s="105"/>
      <c r="C83" s="105"/>
      <c r="D83" s="105"/>
      <c r="E83" s="106"/>
      <c r="F83" s="105"/>
      <c r="G83" s="106"/>
      <c r="H83" s="106"/>
      <c r="I83" s="96" t="str">
        <f aca="false">IF(OR(G83="",H83=""),"",G83*H83)</f>
        <v/>
      </c>
      <c r="J83" s="99" t="str">
        <f aca="false">IF(I83="","",IF(I83&gt;=15,"Crítica",IF(I83&gt;=9,"Alta",IF(I83&gt;=4,"Média","Baixa"))))</f>
        <v/>
      </c>
      <c r="K83" s="105"/>
      <c r="L83" s="105"/>
      <c r="M83" s="106"/>
      <c r="N83" s="96" t="str">
        <f aca="false">IF(B83="","",COUNTIF('Inova - Soluções'!$C$5:$C$500,A83&amp;"*"))</f>
        <v/>
      </c>
      <c r="O83" s="107"/>
      <c r="P83" s="105"/>
      <c r="Q83" s="105"/>
      <c r="R83" s="100" t="str">
        <f aca="false">IF(B83="","",A83&amp;" · "&amp;B83)</f>
        <v/>
      </c>
    </row>
    <row r="84" customFormat="false" ht="15" hidden="false" customHeight="false" outlineLevel="0" collapsed="false">
      <c r="A84" s="101" t="s">
        <v>1302</v>
      </c>
      <c r="B84" s="102"/>
      <c r="C84" s="102"/>
      <c r="D84" s="102"/>
      <c r="E84" s="103"/>
      <c r="F84" s="102"/>
      <c r="G84" s="103"/>
      <c r="H84" s="103"/>
      <c r="I84" s="96" t="str">
        <f aca="false">IF(OR(G84="",H84=""),"",G84*H84)</f>
        <v/>
      </c>
      <c r="J84" s="99" t="str">
        <f aca="false">IF(I84="","",IF(I84&gt;=15,"Crítica",IF(I84&gt;=9,"Alta",IF(I84&gt;=4,"Média","Baixa"))))</f>
        <v/>
      </c>
      <c r="K84" s="102"/>
      <c r="L84" s="102"/>
      <c r="M84" s="103"/>
      <c r="N84" s="96" t="str">
        <f aca="false">IF(B84="","",COUNTIF('Inova - Soluções'!$C$5:$C$500,A84&amp;"*"))</f>
        <v/>
      </c>
      <c r="O84" s="104"/>
      <c r="P84" s="102"/>
      <c r="Q84" s="102"/>
      <c r="R84" s="100" t="str">
        <f aca="false">IF(B84="","",A84&amp;" · "&amp;B84)</f>
        <v/>
      </c>
    </row>
    <row r="85" customFormat="false" ht="15" hidden="false" customHeight="false" outlineLevel="0" collapsed="false">
      <c r="A85" s="93" t="s">
        <v>1303</v>
      </c>
      <c r="B85" s="105"/>
      <c r="C85" s="105"/>
      <c r="D85" s="105"/>
      <c r="E85" s="106"/>
      <c r="F85" s="105"/>
      <c r="G85" s="106"/>
      <c r="H85" s="106"/>
      <c r="I85" s="96" t="str">
        <f aca="false">IF(OR(G85="",H85=""),"",G85*H85)</f>
        <v/>
      </c>
      <c r="J85" s="99" t="str">
        <f aca="false">IF(I85="","",IF(I85&gt;=15,"Crítica",IF(I85&gt;=9,"Alta",IF(I85&gt;=4,"Média","Baixa"))))</f>
        <v/>
      </c>
      <c r="K85" s="105"/>
      <c r="L85" s="105"/>
      <c r="M85" s="106"/>
      <c r="N85" s="96" t="str">
        <f aca="false">IF(B85="","",COUNTIF('Inova - Soluções'!$C$5:$C$500,A85&amp;"*"))</f>
        <v/>
      </c>
      <c r="O85" s="107"/>
      <c r="P85" s="105"/>
      <c r="Q85" s="105"/>
      <c r="R85" s="100" t="str">
        <f aca="false">IF(B85="","",A85&amp;" · "&amp;B85)</f>
        <v/>
      </c>
    </row>
    <row r="86" customFormat="false" ht="15" hidden="false" customHeight="false" outlineLevel="0" collapsed="false">
      <c r="A86" s="101" t="s">
        <v>1304</v>
      </c>
      <c r="B86" s="102"/>
      <c r="C86" s="102"/>
      <c r="D86" s="102"/>
      <c r="E86" s="103"/>
      <c r="F86" s="102"/>
      <c r="G86" s="103"/>
      <c r="H86" s="103"/>
      <c r="I86" s="96" t="str">
        <f aca="false">IF(OR(G86="",H86=""),"",G86*H86)</f>
        <v/>
      </c>
      <c r="J86" s="99" t="str">
        <f aca="false">IF(I86="","",IF(I86&gt;=15,"Crítica",IF(I86&gt;=9,"Alta",IF(I86&gt;=4,"Média","Baixa"))))</f>
        <v/>
      </c>
      <c r="K86" s="102"/>
      <c r="L86" s="102"/>
      <c r="M86" s="103"/>
      <c r="N86" s="96" t="str">
        <f aca="false">IF(B86="","",COUNTIF('Inova - Soluções'!$C$5:$C$500,A86&amp;"*"))</f>
        <v/>
      </c>
      <c r="O86" s="104"/>
      <c r="P86" s="102"/>
      <c r="Q86" s="102"/>
      <c r="R86" s="100" t="str">
        <f aca="false">IF(B86="","",A86&amp;" · "&amp;B86)</f>
        <v/>
      </c>
    </row>
    <row r="87" customFormat="false" ht="15" hidden="false" customHeight="false" outlineLevel="0" collapsed="false">
      <c r="A87" s="93" t="s">
        <v>1305</v>
      </c>
      <c r="B87" s="105"/>
      <c r="C87" s="105"/>
      <c r="D87" s="105"/>
      <c r="E87" s="106"/>
      <c r="F87" s="105"/>
      <c r="G87" s="106"/>
      <c r="H87" s="106"/>
      <c r="I87" s="96" t="str">
        <f aca="false">IF(OR(G87="",H87=""),"",G87*H87)</f>
        <v/>
      </c>
      <c r="J87" s="99" t="str">
        <f aca="false">IF(I87="","",IF(I87&gt;=15,"Crítica",IF(I87&gt;=9,"Alta",IF(I87&gt;=4,"Média","Baixa"))))</f>
        <v/>
      </c>
      <c r="K87" s="105"/>
      <c r="L87" s="105"/>
      <c r="M87" s="106"/>
      <c r="N87" s="96" t="str">
        <f aca="false">IF(B87="","",COUNTIF('Inova - Soluções'!$C$5:$C$500,A87&amp;"*"))</f>
        <v/>
      </c>
      <c r="O87" s="107"/>
      <c r="P87" s="105"/>
      <c r="Q87" s="105"/>
      <c r="R87" s="100" t="str">
        <f aca="false">IF(B87="","",A87&amp;" · "&amp;B87)</f>
        <v/>
      </c>
    </row>
    <row r="88" customFormat="false" ht="15" hidden="false" customHeight="false" outlineLevel="0" collapsed="false">
      <c r="A88" s="101" t="s">
        <v>1306</v>
      </c>
      <c r="B88" s="102"/>
      <c r="C88" s="102"/>
      <c r="D88" s="102"/>
      <c r="E88" s="103"/>
      <c r="F88" s="102"/>
      <c r="G88" s="103"/>
      <c r="H88" s="103"/>
      <c r="I88" s="96" t="str">
        <f aca="false">IF(OR(G88="",H88=""),"",G88*H88)</f>
        <v/>
      </c>
      <c r="J88" s="99" t="str">
        <f aca="false">IF(I88="","",IF(I88&gt;=15,"Crítica",IF(I88&gt;=9,"Alta",IF(I88&gt;=4,"Média","Baixa"))))</f>
        <v/>
      </c>
      <c r="K88" s="102"/>
      <c r="L88" s="102"/>
      <c r="M88" s="103"/>
      <c r="N88" s="96" t="str">
        <f aca="false">IF(B88="","",COUNTIF('Inova - Soluções'!$C$5:$C$500,A88&amp;"*"))</f>
        <v/>
      </c>
      <c r="O88" s="104"/>
      <c r="P88" s="102"/>
      <c r="Q88" s="102"/>
      <c r="R88" s="100" t="str">
        <f aca="false">IF(B88="","",A88&amp;" · "&amp;B88)</f>
        <v/>
      </c>
    </row>
    <row r="89" customFormat="false" ht="15" hidden="false" customHeight="false" outlineLevel="0" collapsed="false">
      <c r="A89" s="93" t="s">
        <v>1307</v>
      </c>
      <c r="B89" s="105"/>
      <c r="C89" s="105"/>
      <c r="D89" s="105"/>
      <c r="E89" s="106"/>
      <c r="F89" s="105"/>
      <c r="G89" s="106"/>
      <c r="H89" s="106"/>
      <c r="I89" s="96" t="str">
        <f aca="false">IF(OR(G89="",H89=""),"",G89*H89)</f>
        <v/>
      </c>
      <c r="J89" s="99" t="str">
        <f aca="false">IF(I89="","",IF(I89&gt;=15,"Crítica",IF(I89&gt;=9,"Alta",IF(I89&gt;=4,"Média","Baixa"))))</f>
        <v/>
      </c>
      <c r="K89" s="105"/>
      <c r="L89" s="105"/>
      <c r="M89" s="106"/>
      <c r="N89" s="96" t="str">
        <f aca="false">IF(B89="","",COUNTIF('Inova - Soluções'!$C$5:$C$500,A89&amp;"*"))</f>
        <v/>
      </c>
      <c r="O89" s="107"/>
      <c r="P89" s="105"/>
      <c r="Q89" s="105"/>
      <c r="R89" s="100" t="str">
        <f aca="false">IF(B89="","",A89&amp;" · "&amp;B89)</f>
        <v/>
      </c>
    </row>
    <row r="90" customFormat="false" ht="15" hidden="false" customHeight="false" outlineLevel="0" collapsed="false">
      <c r="A90" s="101" t="s">
        <v>1308</v>
      </c>
      <c r="B90" s="102"/>
      <c r="C90" s="102"/>
      <c r="D90" s="102"/>
      <c r="E90" s="103"/>
      <c r="F90" s="102"/>
      <c r="G90" s="103"/>
      <c r="H90" s="103"/>
      <c r="I90" s="96" t="str">
        <f aca="false">IF(OR(G90="",H90=""),"",G90*H90)</f>
        <v/>
      </c>
      <c r="J90" s="99" t="str">
        <f aca="false">IF(I90="","",IF(I90&gt;=15,"Crítica",IF(I90&gt;=9,"Alta",IF(I90&gt;=4,"Média","Baixa"))))</f>
        <v/>
      </c>
      <c r="K90" s="102"/>
      <c r="L90" s="102"/>
      <c r="M90" s="103"/>
      <c r="N90" s="96" t="str">
        <f aca="false">IF(B90="","",COUNTIF('Inova - Soluções'!$C$5:$C$500,A90&amp;"*"))</f>
        <v/>
      </c>
      <c r="O90" s="104"/>
      <c r="P90" s="102"/>
      <c r="Q90" s="102"/>
      <c r="R90" s="100" t="str">
        <f aca="false">IF(B90="","",A90&amp;" · "&amp;B90)</f>
        <v/>
      </c>
    </row>
    <row r="91" customFormat="false" ht="15" hidden="false" customHeight="false" outlineLevel="0" collapsed="false">
      <c r="A91" s="93" t="s">
        <v>1309</v>
      </c>
      <c r="B91" s="105"/>
      <c r="C91" s="105"/>
      <c r="D91" s="105"/>
      <c r="E91" s="106"/>
      <c r="F91" s="105"/>
      <c r="G91" s="106"/>
      <c r="H91" s="106"/>
      <c r="I91" s="96" t="str">
        <f aca="false">IF(OR(G91="",H91=""),"",G91*H91)</f>
        <v/>
      </c>
      <c r="J91" s="99" t="str">
        <f aca="false">IF(I91="","",IF(I91&gt;=15,"Crítica",IF(I91&gt;=9,"Alta",IF(I91&gt;=4,"Média","Baixa"))))</f>
        <v/>
      </c>
      <c r="K91" s="105"/>
      <c r="L91" s="105"/>
      <c r="M91" s="106"/>
      <c r="N91" s="96" t="str">
        <f aca="false">IF(B91="","",COUNTIF('Inova - Soluções'!$C$5:$C$500,A91&amp;"*"))</f>
        <v/>
      </c>
      <c r="O91" s="107"/>
      <c r="P91" s="105"/>
      <c r="Q91" s="105"/>
      <c r="R91" s="100" t="str">
        <f aca="false">IF(B91="","",A91&amp;" · "&amp;B91)</f>
        <v/>
      </c>
    </row>
    <row r="92" customFormat="false" ht="15" hidden="false" customHeight="false" outlineLevel="0" collapsed="false">
      <c r="A92" s="101" t="s">
        <v>1310</v>
      </c>
      <c r="B92" s="102"/>
      <c r="C92" s="102"/>
      <c r="D92" s="102"/>
      <c r="E92" s="103"/>
      <c r="F92" s="102"/>
      <c r="G92" s="103"/>
      <c r="H92" s="103"/>
      <c r="I92" s="96" t="str">
        <f aca="false">IF(OR(G92="",H92=""),"",G92*H92)</f>
        <v/>
      </c>
      <c r="J92" s="99" t="str">
        <f aca="false">IF(I92="","",IF(I92&gt;=15,"Crítica",IF(I92&gt;=9,"Alta",IF(I92&gt;=4,"Média","Baixa"))))</f>
        <v/>
      </c>
      <c r="K92" s="102"/>
      <c r="L92" s="102"/>
      <c r="M92" s="103"/>
      <c r="N92" s="96" t="str">
        <f aca="false">IF(B92="","",COUNTIF('Inova - Soluções'!$C$5:$C$500,A92&amp;"*"))</f>
        <v/>
      </c>
      <c r="O92" s="104"/>
      <c r="P92" s="102"/>
      <c r="Q92" s="102"/>
      <c r="R92" s="100" t="str">
        <f aca="false">IF(B92="","",A92&amp;" · "&amp;B92)</f>
        <v/>
      </c>
    </row>
    <row r="93" customFormat="false" ht="15" hidden="false" customHeight="false" outlineLevel="0" collapsed="false">
      <c r="A93" s="93" t="s">
        <v>1311</v>
      </c>
      <c r="B93" s="105"/>
      <c r="C93" s="105"/>
      <c r="D93" s="105"/>
      <c r="E93" s="106"/>
      <c r="F93" s="105"/>
      <c r="G93" s="106"/>
      <c r="H93" s="106"/>
      <c r="I93" s="96" t="str">
        <f aca="false">IF(OR(G93="",H93=""),"",G93*H93)</f>
        <v/>
      </c>
      <c r="J93" s="99" t="str">
        <f aca="false">IF(I93="","",IF(I93&gt;=15,"Crítica",IF(I93&gt;=9,"Alta",IF(I93&gt;=4,"Média","Baixa"))))</f>
        <v/>
      </c>
      <c r="K93" s="105"/>
      <c r="L93" s="105"/>
      <c r="M93" s="106"/>
      <c r="N93" s="96" t="str">
        <f aca="false">IF(B93="","",COUNTIF('Inova - Soluções'!$C$5:$C$500,A93&amp;"*"))</f>
        <v/>
      </c>
      <c r="O93" s="107"/>
      <c r="P93" s="105"/>
      <c r="Q93" s="105"/>
      <c r="R93" s="100" t="str">
        <f aca="false">IF(B93="","",A93&amp;" · "&amp;B93)</f>
        <v/>
      </c>
    </row>
    <row r="94" customFormat="false" ht="15" hidden="false" customHeight="false" outlineLevel="0" collapsed="false">
      <c r="A94" s="101" t="s">
        <v>1312</v>
      </c>
      <c r="B94" s="102"/>
      <c r="C94" s="102"/>
      <c r="D94" s="102"/>
      <c r="E94" s="103"/>
      <c r="F94" s="102"/>
      <c r="G94" s="103"/>
      <c r="H94" s="103"/>
      <c r="I94" s="96" t="str">
        <f aca="false">IF(OR(G94="",H94=""),"",G94*H94)</f>
        <v/>
      </c>
      <c r="J94" s="99" t="str">
        <f aca="false">IF(I94="","",IF(I94&gt;=15,"Crítica",IF(I94&gt;=9,"Alta",IF(I94&gt;=4,"Média","Baixa"))))</f>
        <v/>
      </c>
      <c r="K94" s="102"/>
      <c r="L94" s="102"/>
      <c r="M94" s="103"/>
      <c r="N94" s="96" t="str">
        <f aca="false">IF(B94="","",COUNTIF('Inova - Soluções'!$C$5:$C$500,A94&amp;"*"))</f>
        <v/>
      </c>
      <c r="O94" s="104"/>
      <c r="P94" s="102"/>
      <c r="Q94" s="102"/>
      <c r="R94" s="100" t="str">
        <f aca="false">IF(B94="","",A94&amp;" · "&amp;B94)</f>
        <v/>
      </c>
    </row>
    <row r="95" customFormat="false" ht="15" hidden="false" customHeight="false" outlineLevel="0" collapsed="false">
      <c r="A95" s="93" t="s">
        <v>1313</v>
      </c>
      <c r="B95" s="105"/>
      <c r="C95" s="105"/>
      <c r="D95" s="105"/>
      <c r="E95" s="106"/>
      <c r="F95" s="105"/>
      <c r="G95" s="106"/>
      <c r="H95" s="106"/>
      <c r="I95" s="96" t="str">
        <f aca="false">IF(OR(G95="",H95=""),"",G95*H95)</f>
        <v/>
      </c>
      <c r="J95" s="99" t="str">
        <f aca="false">IF(I95="","",IF(I95&gt;=15,"Crítica",IF(I95&gt;=9,"Alta",IF(I95&gt;=4,"Média","Baixa"))))</f>
        <v/>
      </c>
      <c r="K95" s="105"/>
      <c r="L95" s="105"/>
      <c r="M95" s="106"/>
      <c r="N95" s="96" t="str">
        <f aca="false">IF(B95="","",COUNTIF('Inova - Soluções'!$C$5:$C$500,A95&amp;"*"))</f>
        <v/>
      </c>
      <c r="O95" s="107"/>
      <c r="P95" s="105"/>
      <c r="Q95" s="105"/>
      <c r="R95" s="100" t="str">
        <f aca="false">IF(B95="","",A95&amp;" · "&amp;B95)</f>
        <v/>
      </c>
    </row>
    <row r="96" customFormat="false" ht="15" hidden="false" customHeight="false" outlineLevel="0" collapsed="false">
      <c r="A96" s="101" t="s">
        <v>1314</v>
      </c>
      <c r="B96" s="102"/>
      <c r="C96" s="102"/>
      <c r="D96" s="102"/>
      <c r="E96" s="103"/>
      <c r="F96" s="102"/>
      <c r="G96" s="103"/>
      <c r="H96" s="103"/>
      <c r="I96" s="96" t="str">
        <f aca="false">IF(OR(G96="",H96=""),"",G96*H96)</f>
        <v/>
      </c>
      <c r="J96" s="99" t="str">
        <f aca="false">IF(I96="","",IF(I96&gt;=15,"Crítica",IF(I96&gt;=9,"Alta",IF(I96&gt;=4,"Média","Baixa"))))</f>
        <v/>
      </c>
      <c r="K96" s="102"/>
      <c r="L96" s="102"/>
      <c r="M96" s="103"/>
      <c r="N96" s="96" t="str">
        <f aca="false">IF(B96="","",COUNTIF('Inova - Soluções'!$C$5:$C$500,A96&amp;"*"))</f>
        <v/>
      </c>
      <c r="O96" s="104"/>
      <c r="P96" s="102"/>
      <c r="Q96" s="102"/>
      <c r="R96" s="100" t="str">
        <f aca="false">IF(B96="","",A96&amp;" · "&amp;B96)</f>
        <v/>
      </c>
    </row>
    <row r="97" customFormat="false" ht="15" hidden="false" customHeight="false" outlineLevel="0" collapsed="false">
      <c r="A97" s="93" t="s">
        <v>1315</v>
      </c>
      <c r="B97" s="105"/>
      <c r="C97" s="105"/>
      <c r="D97" s="105"/>
      <c r="E97" s="106"/>
      <c r="F97" s="105"/>
      <c r="G97" s="106"/>
      <c r="H97" s="106"/>
      <c r="I97" s="96" t="str">
        <f aca="false">IF(OR(G97="",H97=""),"",G97*H97)</f>
        <v/>
      </c>
      <c r="J97" s="99" t="str">
        <f aca="false">IF(I97="","",IF(I97&gt;=15,"Crítica",IF(I97&gt;=9,"Alta",IF(I97&gt;=4,"Média","Baixa"))))</f>
        <v/>
      </c>
      <c r="K97" s="105"/>
      <c r="L97" s="105"/>
      <c r="M97" s="106"/>
      <c r="N97" s="96" t="str">
        <f aca="false">IF(B97="","",COUNTIF('Inova - Soluções'!$C$5:$C$500,A97&amp;"*"))</f>
        <v/>
      </c>
      <c r="O97" s="107"/>
      <c r="P97" s="105"/>
      <c r="Q97" s="105"/>
      <c r="R97" s="100" t="str">
        <f aca="false">IF(B97="","",A97&amp;" · "&amp;B97)</f>
        <v/>
      </c>
    </row>
    <row r="98" customFormat="false" ht="15" hidden="false" customHeight="false" outlineLevel="0" collapsed="false">
      <c r="A98" s="101" t="s">
        <v>1316</v>
      </c>
      <c r="B98" s="102"/>
      <c r="C98" s="102"/>
      <c r="D98" s="102"/>
      <c r="E98" s="103"/>
      <c r="F98" s="102"/>
      <c r="G98" s="103"/>
      <c r="H98" s="103"/>
      <c r="I98" s="96" t="str">
        <f aca="false">IF(OR(G98="",H98=""),"",G98*H98)</f>
        <v/>
      </c>
      <c r="J98" s="99" t="str">
        <f aca="false">IF(I98="","",IF(I98&gt;=15,"Crítica",IF(I98&gt;=9,"Alta",IF(I98&gt;=4,"Média","Baixa"))))</f>
        <v/>
      </c>
      <c r="K98" s="102"/>
      <c r="L98" s="102"/>
      <c r="M98" s="103"/>
      <c r="N98" s="96" t="str">
        <f aca="false">IF(B98="","",COUNTIF('Inova - Soluções'!$C$5:$C$500,A98&amp;"*"))</f>
        <v/>
      </c>
      <c r="O98" s="104"/>
      <c r="P98" s="102"/>
      <c r="Q98" s="102"/>
      <c r="R98" s="100" t="str">
        <f aca="false">IF(B98="","",A98&amp;" · "&amp;B98)</f>
        <v/>
      </c>
    </row>
    <row r="99" customFormat="false" ht="15" hidden="false" customHeight="false" outlineLevel="0" collapsed="false">
      <c r="A99" s="93" t="s">
        <v>1317</v>
      </c>
      <c r="B99" s="105"/>
      <c r="C99" s="105"/>
      <c r="D99" s="105"/>
      <c r="E99" s="106"/>
      <c r="F99" s="105"/>
      <c r="G99" s="106"/>
      <c r="H99" s="106"/>
      <c r="I99" s="96" t="str">
        <f aca="false">IF(OR(G99="",H99=""),"",G99*H99)</f>
        <v/>
      </c>
      <c r="J99" s="99" t="str">
        <f aca="false">IF(I99="","",IF(I99&gt;=15,"Crítica",IF(I99&gt;=9,"Alta",IF(I99&gt;=4,"Média","Baixa"))))</f>
        <v/>
      </c>
      <c r="K99" s="105"/>
      <c r="L99" s="105"/>
      <c r="M99" s="106"/>
      <c r="N99" s="96" t="str">
        <f aca="false">IF(B99="","",COUNTIF('Inova - Soluções'!$C$5:$C$500,A99&amp;"*"))</f>
        <v/>
      </c>
      <c r="O99" s="107"/>
      <c r="P99" s="105"/>
      <c r="Q99" s="105"/>
      <c r="R99" s="100" t="str">
        <f aca="false">IF(B99="","",A99&amp;" · "&amp;B99)</f>
        <v/>
      </c>
    </row>
    <row r="100" customFormat="false" ht="15" hidden="false" customHeight="false" outlineLevel="0" collapsed="false">
      <c r="A100" s="101" t="s">
        <v>1318</v>
      </c>
      <c r="B100" s="102"/>
      <c r="C100" s="102"/>
      <c r="D100" s="102"/>
      <c r="E100" s="103"/>
      <c r="F100" s="102"/>
      <c r="G100" s="103"/>
      <c r="H100" s="103"/>
      <c r="I100" s="96" t="str">
        <f aca="false">IF(OR(G100="",H100=""),"",G100*H100)</f>
        <v/>
      </c>
      <c r="J100" s="99" t="str">
        <f aca="false">IF(I100="","",IF(I100&gt;=15,"Crítica",IF(I100&gt;=9,"Alta",IF(I100&gt;=4,"Média","Baixa"))))</f>
        <v/>
      </c>
      <c r="K100" s="102"/>
      <c r="L100" s="102"/>
      <c r="M100" s="103"/>
      <c r="N100" s="96" t="str">
        <f aca="false">IF(B100="","",COUNTIF('Inova - Soluções'!$C$5:$C$500,A100&amp;"*"))</f>
        <v/>
      </c>
      <c r="O100" s="104"/>
      <c r="P100" s="102"/>
      <c r="Q100" s="102"/>
      <c r="R100" s="100" t="str">
        <f aca="false">IF(B100="","",A100&amp;" · "&amp;B100)</f>
        <v/>
      </c>
    </row>
    <row r="101" customFormat="false" ht="15" hidden="false" customHeight="false" outlineLevel="0" collapsed="false">
      <c r="A101" s="93" t="s">
        <v>1319</v>
      </c>
      <c r="B101" s="105"/>
      <c r="C101" s="105"/>
      <c r="D101" s="105"/>
      <c r="E101" s="106"/>
      <c r="F101" s="105"/>
      <c r="G101" s="106"/>
      <c r="H101" s="106"/>
      <c r="I101" s="96" t="str">
        <f aca="false">IF(OR(G101="",H101=""),"",G101*H101)</f>
        <v/>
      </c>
      <c r="J101" s="99" t="str">
        <f aca="false">IF(I101="","",IF(I101&gt;=15,"Crítica",IF(I101&gt;=9,"Alta",IF(I101&gt;=4,"Média","Baixa"))))</f>
        <v/>
      </c>
      <c r="K101" s="105"/>
      <c r="L101" s="105"/>
      <c r="M101" s="106"/>
      <c r="N101" s="96" t="str">
        <f aca="false">IF(B101="","",COUNTIF('Inova - Soluções'!$C$5:$C$500,A101&amp;"*"))</f>
        <v/>
      </c>
      <c r="O101" s="107"/>
      <c r="P101" s="105"/>
      <c r="Q101" s="105"/>
      <c r="R101" s="100" t="str">
        <f aca="false">IF(B101="","",A101&amp;" · "&amp;B101)</f>
        <v/>
      </c>
    </row>
    <row r="102" customFormat="false" ht="15" hidden="false" customHeight="false" outlineLevel="0" collapsed="false">
      <c r="A102" s="101" t="s">
        <v>1320</v>
      </c>
      <c r="B102" s="102"/>
      <c r="C102" s="102"/>
      <c r="D102" s="102"/>
      <c r="E102" s="103"/>
      <c r="F102" s="102"/>
      <c r="G102" s="103"/>
      <c r="H102" s="103"/>
      <c r="I102" s="96" t="str">
        <f aca="false">IF(OR(G102="",H102=""),"",G102*H102)</f>
        <v/>
      </c>
      <c r="J102" s="99" t="str">
        <f aca="false">IF(I102="","",IF(I102&gt;=15,"Crítica",IF(I102&gt;=9,"Alta",IF(I102&gt;=4,"Média","Baixa"))))</f>
        <v/>
      </c>
      <c r="K102" s="102"/>
      <c r="L102" s="102"/>
      <c r="M102" s="103"/>
      <c r="N102" s="96" t="str">
        <f aca="false">IF(B102="","",COUNTIF('Inova - Soluções'!$C$5:$C$500,A102&amp;"*"))</f>
        <v/>
      </c>
      <c r="O102" s="104"/>
      <c r="P102" s="102"/>
      <c r="Q102" s="102"/>
      <c r="R102" s="100" t="str">
        <f aca="false">IF(B102="","",A102&amp;" · "&amp;B102)</f>
        <v/>
      </c>
    </row>
    <row r="103" customFormat="false" ht="15" hidden="false" customHeight="false" outlineLevel="0" collapsed="false">
      <c r="A103" s="93" t="s">
        <v>1321</v>
      </c>
      <c r="B103" s="105"/>
      <c r="C103" s="105"/>
      <c r="D103" s="105"/>
      <c r="E103" s="106"/>
      <c r="F103" s="105"/>
      <c r="G103" s="106"/>
      <c r="H103" s="106"/>
      <c r="I103" s="96" t="str">
        <f aca="false">IF(OR(G103="",H103=""),"",G103*H103)</f>
        <v/>
      </c>
      <c r="J103" s="99" t="str">
        <f aca="false">IF(I103="","",IF(I103&gt;=15,"Crítica",IF(I103&gt;=9,"Alta",IF(I103&gt;=4,"Média","Baixa"))))</f>
        <v/>
      </c>
      <c r="K103" s="105"/>
      <c r="L103" s="105"/>
      <c r="M103" s="106"/>
      <c r="N103" s="96" t="str">
        <f aca="false">IF(B103="","",COUNTIF('Inova - Soluções'!$C$5:$C$500,A103&amp;"*"))</f>
        <v/>
      </c>
      <c r="O103" s="107"/>
      <c r="P103" s="105"/>
      <c r="Q103" s="105"/>
      <c r="R103" s="100" t="str">
        <f aca="false">IF(B103="","",A103&amp;" · "&amp;B103)</f>
        <v/>
      </c>
    </row>
    <row r="104" customFormat="false" ht="15" hidden="false" customHeight="false" outlineLevel="0" collapsed="false">
      <c r="A104" s="101" t="s">
        <v>1322</v>
      </c>
      <c r="B104" s="102"/>
      <c r="C104" s="102"/>
      <c r="D104" s="102"/>
      <c r="E104" s="103"/>
      <c r="F104" s="102"/>
      <c r="G104" s="103"/>
      <c r="H104" s="103"/>
      <c r="I104" s="96" t="str">
        <f aca="false">IF(OR(G104="",H104=""),"",G104*H104)</f>
        <v/>
      </c>
      <c r="J104" s="99" t="str">
        <f aca="false">IF(I104="","",IF(I104&gt;=15,"Crítica",IF(I104&gt;=9,"Alta",IF(I104&gt;=4,"Média","Baixa"))))</f>
        <v/>
      </c>
      <c r="K104" s="102"/>
      <c r="L104" s="102"/>
      <c r="M104" s="103"/>
      <c r="N104" s="96" t="str">
        <f aca="false">IF(B104="","",COUNTIF('Inova - Soluções'!$C$5:$C$500,A104&amp;"*"))</f>
        <v/>
      </c>
      <c r="O104" s="104"/>
      <c r="P104" s="102"/>
      <c r="Q104" s="102"/>
      <c r="R104" s="100" t="str">
        <f aca="false">IF(B104="","",A104&amp;" · "&amp;B104)</f>
        <v/>
      </c>
    </row>
  </sheetData>
  <autoFilter ref="A4:R104"/>
  <mergeCells count="4">
    <mergeCell ref="A3:F3"/>
    <mergeCell ref="G3:J3"/>
    <mergeCell ref="K3:N3"/>
    <mergeCell ref="O3:R3"/>
  </mergeCells>
  <conditionalFormatting sqref="A5:A500">
    <cfRule type="expression" priority="2" aboveAverage="0" equalAverage="0" bottom="0" percent="0" rank="0" text="" dxfId="13">
      <formula>$B5&lt;&gt;""</formula>
    </cfRule>
  </conditionalFormatting>
  <conditionalFormatting sqref="J5:J500">
    <cfRule type="expression" priority="3" aboveAverage="0" equalAverage="0" bottom="0" percent="0" rank="0" text="" dxfId="20">
      <formula>$J5="Crítica"</formula>
    </cfRule>
    <cfRule type="expression" priority="4" aboveAverage="0" equalAverage="0" bottom="0" percent="0" rank="0" text="" dxfId="27">
      <formula>$J5="Alta"</formula>
    </cfRule>
    <cfRule type="expression" priority="5" aboveAverage="0" equalAverage="0" bottom="0" percent="0" rank="0" text="" dxfId="28">
      <formula>$J5="Média"</formula>
    </cfRule>
    <cfRule type="expression" priority="6" aboveAverage="0" equalAverage="0" bottom="0" percent="0" rank="0" text="" dxfId="29">
      <formula>$J5="Baixa"</formula>
    </cfRule>
  </conditionalFormatting>
  <conditionalFormatting sqref="E5:E500">
    <cfRule type="expression" priority="7" aboveAverage="0" equalAverage="0" bottom="0" percent="0" rank="0" text="" dxfId="30">
      <formula>$E5="Ocorrendo hoje"</formula>
    </cfRule>
    <cfRule type="expression" priority="8" aboveAverage="0" equalAverage="0" bottom="0" percent="0" rank="0" text="" dxfId="31">
      <formula>$E5="Risco potencial"</formula>
    </cfRule>
  </conditionalFormatting>
  <conditionalFormatting sqref="M5:M500">
    <cfRule type="expression" priority="9" aboveAverage="0" equalAverage="0" bottom="0" percent="0" rank="0" text="" dxfId="14">
      <formula>$M5="Resolvido"</formula>
    </cfRule>
    <cfRule type="expression" priority="10" aboveAverage="0" equalAverage="0" bottom="0" percent="0" rank="0" text="" dxfId="15">
      <formula>$M5="Solução em teste"</formula>
    </cfRule>
    <cfRule type="expression" priority="11" aboveAverage="0" equalAverage="0" bottom="0" percent="0" rank="0" text="" dxfId="17">
      <formula>$M5="Buscando solução"</formula>
    </cfRule>
    <cfRule type="expression" priority="12" aboveAverage="0" equalAverage="0" bottom="0" percent="0" rank="0" text="" dxfId="18">
      <formula>$M5="Arquivado"</formula>
    </cfRule>
  </conditionalFormatting>
  <conditionalFormatting sqref="N5:N500">
    <cfRule type="expression" priority="13" aboveAverage="0" equalAverage="0" bottom="0" percent="0" rank="0" text="" dxfId="32">
      <formula>AND($B5&lt;&gt;"",$N5=0)</formula>
    </cfRule>
  </conditionalFormatting>
  <dataValidations count="7">
    <dataValidation allowBlank="true" error="Digite uma data válida no formato dd/mm/aaaa." errorStyle="stop" errorTitle="Data inválida" operator="greaterThan" showDropDown="false" showErrorMessage="true" showInputMessage="false" sqref="O5:O500" type="date">
      <formula1>36526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D5:D500" type="list">
      <formula1>lst_Categoria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lst_SitProblema</formula1>
      <formula2>0</formula2>
    </dataValidation>
    <dataValidation allowBlank="true" error="Escolha uma opção da lista. As opções podem ser editadas na aba Listas." errorStyle="stop" errorTitle="Valor fora da lista" operator="between" prompt="1 = muito baixo · 3 = médio · 5 = muito alto (afeta o resultado do projeto/CEMP)." promptTitle="Impacto" showDropDown="false" showErrorMessage="true" showInputMessage="true" sqref="G5:G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prompt="1 = raro · 3 = acontece às vezes · 5 = acontece sempre / quase certo." promptTitle="Probabilidade" showDropDown="false" showErrorMessage="true" showInputMessage="true" sqref="H5:H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lst_Diretoria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M5:M500" type="list">
      <formula1>lst_StatusProblema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9B"/>
    <pageSetUpPr fitToPage="true"/>
  </sheetPr>
  <dimension ref="A1:U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19"/>
    <col collapsed="false" customWidth="true" hidden="false" outlineLevel="0" max="7" min="7" style="0" width="17"/>
    <col collapsed="false" customWidth="true" hidden="false" outlineLevel="0" max="8" min="8" style="0" width="56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17"/>
    <col collapsed="false" customWidth="true" hidden="false" outlineLevel="0" max="14" min="14" style="0" width="40"/>
    <col collapsed="false" customWidth="true" hidden="false" outlineLevel="0" max="15" min="15" style="0" width="28"/>
    <col collapsed="false" customWidth="true" hidden="false" outlineLevel="0" max="16" min="16" style="0" width="16"/>
    <col collapsed="false" customWidth="true" hidden="false" outlineLevel="0" max="17" min="17" style="0" width="17"/>
    <col collapsed="false" customWidth="true" hidden="false" outlineLevel="0" max="18" min="18" style="0" width="12"/>
    <col collapsed="false" customWidth="true" hidden="false" outlineLevel="0" max="19" min="19" style="0" width="34"/>
    <col collapsed="false" customWidth="true" hidden="false" outlineLevel="0" max="20" min="20" style="0" width="12"/>
    <col collapsed="false" customWidth="true" hidden="false" outlineLevel="0" max="21" min="21" style="0" width="16"/>
  </cols>
  <sheetData>
    <row r="1" customFormat="false" ht="31.5" hidden="false" customHeight="true" outlineLevel="0" collapsed="false">
      <c r="A1" s="83" t="s">
        <v>1323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9.5" hidden="false" customHeight="true" outlineLevel="0" collapsed="false">
      <c r="A2" s="127" t="s">
        <v>70</v>
      </c>
      <c r="B2" s="128" t="str">
        <f aca="false">"Soluções encontradas em outros projetos/empresas para: Inova (hackathons)   ·   "&amp;COUNTA(B5:B500)&amp;" registro(s)"</f>
        <v>Soluções encontradas em outros projetos/empresas para: Inova (hackathons)   ·   1 registro(s)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</row>
    <row r="3" customFormat="false" ht="16.5" hidden="false" customHeight="true" outlineLevel="0" collapsed="false">
      <c r="A3" s="87" t="s">
        <v>649</v>
      </c>
      <c r="B3" s="87"/>
      <c r="C3" s="87"/>
      <c r="D3" s="87"/>
      <c r="E3" s="88" t="s">
        <v>650</v>
      </c>
      <c r="F3" s="88"/>
      <c r="G3" s="88"/>
      <c r="H3" s="89" t="s">
        <v>651</v>
      </c>
      <c r="I3" s="89"/>
      <c r="J3" s="89"/>
      <c r="K3" s="90" t="s">
        <v>652</v>
      </c>
      <c r="L3" s="90"/>
      <c r="M3" s="90"/>
      <c r="N3" s="113" t="s">
        <v>653</v>
      </c>
      <c r="O3" s="113"/>
      <c r="P3" s="114" t="s">
        <v>654</v>
      </c>
      <c r="Q3" s="114"/>
      <c r="R3" s="114"/>
      <c r="S3" s="115" t="s">
        <v>523</v>
      </c>
      <c r="T3" s="115"/>
      <c r="U3" s="115"/>
    </row>
    <row r="4" customFormat="false" ht="42" hidden="false" customHeight="true" outlineLevel="0" collapsed="false">
      <c r="A4" s="130" t="s">
        <v>118</v>
      </c>
      <c r="B4" s="130" t="s">
        <v>655</v>
      </c>
      <c r="C4" s="130" t="s">
        <v>656</v>
      </c>
      <c r="D4" s="130" t="s">
        <v>657</v>
      </c>
      <c r="E4" s="130" t="s">
        <v>658</v>
      </c>
      <c r="F4" s="92" t="s">
        <v>659</v>
      </c>
      <c r="G4" s="130" t="s">
        <v>660</v>
      </c>
      <c r="H4" s="130" t="s">
        <v>661</v>
      </c>
      <c r="I4" s="130" t="s">
        <v>662</v>
      </c>
      <c r="J4" s="130" t="s">
        <v>663</v>
      </c>
      <c r="K4" s="130" t="s">
        <v>664</v>
      </c>
      <c r="L4" s="130" t="s">
        <v>665</v>
      </c>
      <c r="M4" s="92" t="s">
        <v>666</v>
      </c>
      <c r="N4" s="130" t="s">
        <v>667</v>
      </c>
      <c r="O4" s="130" t="s">
        <v>668</v>
      </c>
      <c r="P4" s="130" t="s">
        <v>669</v>
      </c>
      <c r="Q4" s="130" t="s">
        <v>670</v>
      </c>
      <c r="R4" s="130" t="s">
        <v>671</v>
      </c>
      <c r="S4" s="130" t="s">
        <v>672</v>
      </c>
      <c r="T4" s="130" t="s">
        <v>536</v>
      </c>
      <c r="U4" s="130" t="s">
        <v>537</v>
      </c>
    </row>
    <row r="5" customFormat="false" ht="46.25" hidden="false" customHeight="false" outlineLevel="0" collapsed="false">
      <c r="A5" s="93" t="s">
        <v>1324</v>
      </c>
      <c r="B5" s="94" t="s">
        <v>1325</v>
      </c>
      <c r="C5" s="94" t="s">
        <v>1326</v>
      </c>
      <c r="D5" s="94" t="s">
        <v>1327</v>
      </c>
      <c r="E5" s="94" t="s">
        <v>313</v>
      </c>
      <c r="F5" s="99" t="str">
        <f aca="false">IF(E5="","",IFERROR(INDEX('Fontes e Parcerias'!$C$5:$C$500,MATCH(IFERROR(LEFT(E5,FIND(" · ",E5)-1),E5),'Fontes e Parcerias'!$A$5:$A$500,0)),"Fonte não encontrada"))</f>
        <v>Empresa Júnior</v>
      </c>
      <c r="G5" s="95" t="s">
        <v>677</v>
      </c>
      <c r="H5" s="94" t="s">
        <v>1328</v>
      </c>
      <c r="I5" s="94" t="s">
        <v>1329</v>
      </c>
      <c r="J5" s="116" t="n">
        <v>500</v>
      </c>
      <c r="K5" s="95" t="s">
        <v>681</v>
      </c>
      <c r="L5" s="95" t="s">
        <v>681</v>
      </c>
      <c r="M5" s="99" t="str">
        <f aca="false">IF(OR(K5="",L5=""),"",IF((IF(L5="Alto",3,IF(L5="Médio",2,1))-IF(K5="Alto",3,IF(K5="Médio",2,1)))=2,"⚡ Quick win",IF((IF(L5="Alto",3,IF(L5="Médio",2,1))-IF(K5="Alto",3,IF(K5="Médio",2,1)))=1,"🚀 Alto retorno",IF(AND(L5="Alto",K5="Alto"),"🎯 Estratégica",IF((IF(L5="Alto",3,IF(L5="Médio",2,1))-IF(K5="Alto",3,IF(K5="Médio",2,1)))=0,"⚖ Equilibrada","⏳ Baixo retorno")))))</f>
        <v>🎯 Estratégica</v>
      </c>
      <c r="N5" s="94" t="s">
        <v>1330</v>
      </c>
      <c r="O5" s="94" t="s">
        <v>900</v>
      </c>
      <c r="P5" s="95" t="s">
        <v>100</v>
      </c>
      <c r="Q5" s="94" t="s">
        <v>684</v>
      </c>
      <c r="R5" s="98" t="n">
        <v>46338</v>
      </c>
      <c r="S5" s="94" t="s">
        <v>548</v>
      </c>
      <c r="T5" s="98" t="n">
        <v>46293</v>
      </c>
      <c r="U5" s="94" t="s">
        <v>547</v>
      </c>
    </row>
    <row r="6" customFormat="false" ht="15" hidden="false" customHeight="false" outlineLevel="0" collapsed="false">
      <c r="A6" s="101" t="s">
        <v>1331</v>
      </c>
      <c r="B6" s="102"/>
      <c r="C6" s="102"/>
      <c r="D6" s="102"/>
      <c r="E6" s="102"/>
      <c r="F6" s="99" t="str">
        <f aca="false">IF(E6="","",IFERROR(INDEX('Fontes e Parcerias'!$C$5:$C$500,MATCH(IFERROR(LEFT(E6,FIND(" · ",E6)-1),E6),'Fontes e Parcerias'!$A$5:$A$500,0)),"Fonte não encontrada"))</f>
        <v/>
      </c>
      <c r="G6" s="103"/>
      <c r="H6" s="102"/>
      <c r="I6" s="102"/>
      <c r="J6" s="117"/>
      <c r="K6" s="103"/>
      <c r="L6" s="103"/>
      <c r="M6" s="99" t="str">
        <f aca="false">IF(OR(K6="",L6=""),"",IF((IF(L6="Alto",3,IF(L6="Médio",2,1))-IF(K6="Alto",3,IF(K6="Médio",2,1)))=2,"⚡ Quick win",IF((IF(L6="Alto",3,IF(L6="Médio",2,1))-IF(K6="Alto",3,IF(K6="Médio",2,1)))=1,"🚀 Alto retorno",IF(AND(L6="Alto",K6="Alto"),"🎯 Estratégica",IF((IF(L6="Alto",3,IF(L6="Médio",2,1))-IF(K6="Alto",3,IF(K6="Médio",2,1)))=0,"⚖ Equilibrada","⏳ Baixo retorno")))))</f>
        <v/>
      </c>
      <c r="N6" s="102"/>
      <c r="O6" s="102"/>
      <c r="P6" s="103"/>
      <c r="Q6" s="102"/>
      <c r="R6" s="104"/>
      <c r="S6" s="102"/>
      <c r="T6" s="104"/>
      <c r="U6" s="102"/>
    </row>
    <row r="7" customFormat="false" ht="15" hidden="false" customHeight="false" outlineLevel="0" collapsed="false">
      <c r="A7" s="93" t="s">
        <v>1332</v>
      </c>
      <c r="B7" s="105"/>
      <c r="C7" s="105"/>
      <c r="D7" s="105"/>
      <c r="E7" s="105"/>
      <c r="F7" s="99" t="str">
        <f aca="false">IF(E7="","",IFERROR(INDEX('Fontes e Parcerias'!$C$5:$C$500,MATCH(IFERROR(LEFT(E7,FIND(" · ",E7)-1),E7),'Fontes e Parcerias'!$A$5:$A$500,0)),"Fonte não encontrada"))</f>
        <v/>
      </c>
      <c r="G7" s="106"/>
      <c r="H7" s="105"/>
      <c r="I7" s="105"/>
      <c r="J7" s="118"/>
      <c r="K7" s="106"/>
      <c r="L7" s="106"/>
      <c r="M7" s="99" t="str">
        <f aca="false">IF(OR(K7="",L7=""),"",IF((IF(L7="Alto",3,IF(L7="Médio",2,1))-IF(K7="Alto",3,IF(K7="Médio",2,1)))=2,"⚡ Quick win",IF((IF(L7="Alto",3,IF(L7="Médio",2,1))-IF(K7="Alto",3,IF(K7="Médio",2,1)))=1,"🚀 Alto retorno",IF(AND(L7="Alto",K7="Alto"),"🎯 Estratégica",IF((IF(L7="Alto",3,IF(L7="Médio",2,1))-IF(K7="Alto",3,IF(K7="Médio",2,1)))=0,"⚖ Equilibrada","⏳ Baixo retorno")))))</f>
        <v/>
      </c>
      <c r="N7" s="105"/>
      <c r="O7" s="105"/>
      <c r="P7" s="106"/>
      <c r="Q7" s="105"/>
      <c r="R7" s="107"/>
      <c r="S7" s="105"/>
      <c r="T7" s="107"/>
      <c r="U7" s="105"/>
    </row>
    <row r="8" customFormat="false" ht="15" hidden="false" customHeight="false" outlineLevel="0" collapsed="false">
      <c r="A8" s="101" t="s">
        <v>1333</v>
      </c>
      <c r="B8" s="102"/>
      <c r="C8" s="102"/>
      <c r="D8" s="102"/>
      <c r="E8" s="102"/>
      <c r="F8" s="99" t="str">
        <f aca="false">IF(E8="","",IFERROR(INDEX('Fontes e Parcerias'!$C$5:$C$500,MATCH(IFERROR(LEFT(E8,FIND(" · ",E8)-1),E8),'Fontes e Parcerias'!$A$5:$A$500,0)),"Fonte não encontrada"))</f>
        <v/>
      </c>
      <c r="G8" s="103"/>
      <c r="H8" s="102"/>
      <c r="I8" s="102"/>
      <c r="J8" s="117"/>
      <c r="K8" s="103"/>
      <c r="L8" s="103"/>
      <c r="M8" s="99" t="str">
        <f aca="false">IF(OR(K8="",L8=""),"",IF((IF(L8="Alto",3,IF(L8="Médio",2,1))-IF(K8="Alto",3,IF(K8="Médio",2,1)))=2,"⚡ Quick win",IF((IF(L8="Alto",3,IF(L8="Médio",2,1))-IF(K8="Alto",3,IF(K8="Médio",2,1)))=1,"🚀 Alto retorno",IF(AND(L8="Alto",K8="Alto"),"🎯 Estratégica",IF((IF(L8="Alto",3,IF(L8="Médio",2,1))-IF(K8="Alto",3,IF(K8="Médio",2,1)))=0,"⚖ Equilibrada","⏳ Baixo retorno")))))</f>
        <v/>
      </c>
      <c r="N8" s="102"/>
      <c r="O8" s="102"/>
      <c r="P8" s="103"/>
      <c r="Q8" s="102"/>
      <c r="R8" s="104"/>
      <c r="S8" s="102"/>
      <c r="T8" s="104"/>
      <c r="U8" s="102"/>
    </row>
    <row r="9" customFormat="false" ht="15" hidden="false" customHeight="false" outlineLevel="0" collapsed="false">
      <c r="A9" s="93" t="s">
        <v>1334</v>
      </c>
      <c r="B9" s="105"/>
      <c r="C9" s="105"/>
      <c r="D9" s="105"/>
      <c r="E9" s="105"/>
      <c r="F9" s="99" t="str">
        <f aca="false">IF(E9="","",IFERROR(INDEX('Fontes e Parcerias'!$C$5:$C$500,MATCH(IFERROR(LEFT(E9,FIND(" · ",E9)-1),E9),'Fontes e Parcerias'!$A$5:$A$500,0)),"Fonte não encontrada"))</f>
        <v/>
      </c>
      <c r="G9" s="106"/>
      <c r="H9" s="105"/>
      <c r="I9" s="105"/>
      <c r="J9" s="118"/>
      <c r="K9" s="106"/>
      <c r="L9" s="106"/>
      <c r="M9" s="99" t="str">
        <f aca="false">IF(OR(K9="",L9=""),"",IF((IF(L9="Alto",3,IF(L9="Médio",2,1))-IF(K9="Alto",3,IF(K9="Médio",2,1)))=2,"⚡ Quick win",IF((IF(L9="Alto",3,IF(L9="Médio",2,1))-IF(K9="Alto",3,IF(K9="Médio",2,1)))=1,"🚀 Alto retorno",IF(AND(L9="Alto",K9="Alto"),"🎯 Estratégica",IF((IF(L9="Alto",3,IF(L9="Médio",2,1))-IF(K9="Alto",3,IF(K9="Médio",2,1)))=0,"⚖ Equilibrada","⏳ Baixo retorno")))))</f>
        <v/>
      </c>
      <c r="N9" s="105"/>
      <c r="O9" s="105"/>
      <c r="P9" s="106"/>
      <c r="Q9" s="105"/>
      <c r="R9" s="107"/>
      <c r="S9" s="105"/>
      <c r="T9" s="107"/>
      <c r="U9" s="105"/>
    </row>
    <row r="10" customFormat="false" ht="15" hidden="false" customHeight="false" outlineLevel="0" collapsed="false">
      <c r="A10" s="101" t="s">
        <v>1335</v>
      </c>
      <c r="B10" s="102"/>
      <c r="C10" s="102"/>
      <c r="D10" s="102"/>
      <c r="E10" s="102"/>
      <c r="F10" s="99" t="str">
        <f aca="false">IF(E10="","",IFERROR(INDEX('Fontes e Parcerias'!$C$5:$C$500,MATCH(IFERROR(LEFT(E10,FIND(" · ",E10)-1),E10),'Fontes e Parcerias'!$A$5:$A$500,0)),"Fonte não encontrada"))</f>
        <v/>
      </c>
      <c r="G10" s="103"/>
      <c r="H10" s="102"/>
      <c r="I10" s="102"/>
      <c r="J10" s="117"/>
      <c r="K10" s="103"/>
      <c r="L10" s="103"/>
      <c r="M10" s="99" t="str">
        <f aca="false">IF(OR(K10="",L10=""),"",IF((IF(L10="Alto",3,IF(L10="Médio",2,1))-IF(K10="Alto",3,IF(K10="Médio",2,1)))=2,"⚡ Quick win",IF((IF(L10="Alto",3,IF(L10="Médio",2,1))-IF(K10="Alto",3,IF(K10="Médio",2,1)))=1,"🚀 Alto retorno",IF(AND(L10="Alto",K10="Alto"),"🎯 Estratégica",IF((IF(L10="Alto",3,IF(L10="Médio",2,1))-IF(K10="Alto",3,IF(K10="Médio",2,1)))=0,"⚖ Equilibrada","⏳ Baixo retorno")))))</f>
        <v/>
      </c>
      <c r="N10" s="102"/>
      <c r="O10" s="102"/>
      <c r="P10" s="103"/>
      <c r="Q10" s="102"/>
      <c r="R10" s="104"/>
      <c r="S10" s="102"/>
      <c r="T10" s="104"/>
      <c r="U10" s="102"/>
    </row>
    <row r="11" customFormat="false" ht="15" hidden="false" customHeight="false" outlineLevel="0" collapsed="false">
      <c r="A11" s="93" t="s">
        <v>1336</v>
      </c>
      <c r="B11" s="105"/>
      <c r="C11" s="105"/>
      <c r="D11" s="105"/>
      <c r="E11" s="105"/>
      <c r="F11" s="99" t="str">
        <f aca="false">IF(E11="","",IFERROR(INDEX('Fontes e Parcerias'!$C$5:$C$500,MATCH(IFERROR(LEFT(E11,FIND(" · ",E11)-1),E11),'Fontes e Parcerias'!$A$5:$A$500,0)),"Fonte não encontrada"))</f>
        <v/>
      </c>
      <c r="G11" s="106"/>
      <c r="H11" s="105"/>
      <c r="I11" s="105"/>
      <c r="J11" s="118"/>
      <c r="K11" s="106"/>
      <c r="L11" s="106"/>
      <c r="M11" s="99" t="str">
        <f aca="false">IF(OR(K11="",L11=""),"",IF((IF(L11="Alto",3,IF(L11="Médio",2,1))-IF(K11="Alto",3,IF(K11="Médio",2,1)))=2,"⚡ Quick win",IF((IF(L11="Alto",3,IF(L11="Médio",2,1))-IF(K11="Alto",3,IF(K11="Médio",2,1)))=1,"🚀 Alto retorno",IF(AND(L11="Alto",K11="Alto"),"🎯 Estratégica",IF((IF(L11="Alto",3,IF(L11="Médio",2,1))-IF(K11="Alto",3,IF(K11="Médio",2,1)))=0,"⚖ Equilibrada","⏳ Baixo retorno")))))</f>
        <v/>
      </c>
      <c r="N11" s="105"/>
      <c r="O11" s="105"/>
      <c r="P11" s="106"/>
      <c r="Q11" s="105"/>
      <c r="R11" s="107"/>
      <c r="S11" s="105"/>
      <c r="T11" s="107"/>
      <c r="U11" s="105"/>
    </row>
    <row r="12" customFormat="false" ht="15" hidden="false" customHeight="false" outlineLevel="0" collapsed="false">
      <c r="A12" s="101" t="s">
        <v>1337</v>
      </c>
      <c r="B12" s="102"/>
      <c r="C12" s="102"/>
      <c r="D12" s="102"/>
      <c r="E12" s="102"/>
      <c r="F12" s="99" t="str">
        <f aca="false">IF(E12="","",IFERROR(INDEX('Fontes e Parcerias'!$C$5:$C$500,MATCH(IFERROR(LEFT(E12,FIND(" · ",E12)-1),E12),'Fontes e Parcerias'!$A$5:$A$500,0)),"Fonte não encontrada"))</f>
        <v/>
      </c>
      <c r="G12" s="103"/>
      <c r="H12" s="102"/>
      <c r="I12" s="102"/>
      <c r="J12" s="117"/>
      <c r="K12" s="103"/>
      <c r="L12" s="103"/>
      <c r="M12" s="99" t="str">
        <f aca="false">IF(OR(K12="",L12=""),"",IF((IF(L12="Alto",3,IF(L12="Médio",2,1))-IF(K12="Alto",3,IF(K12="Médio",2,1)))=2,"⚡ Quick win",IF((IF(L12="Alto",3,IF(L12="Médio",2,1))-IF(K12="Alto",3,IF(K12="Médio",2,1)))=1,"🚀 Alto retorno",IF(AND(L12="Alto",K12="Alto"),"🎯 Estratégica",IF((IF(L12="Alto",3,IF(L12="Médio",2,1))-IF(K12="Alto",3,IF(K12="Médio",2,1)))=0,"⚖ Equilibrada","⏳ Baixo retorno")))))</f>
        <v/>
      </c>
      <c r="N12" s="102"/>
      <c r="O12" s="102"/>
      <c r="P12" s="103"/>
      <c r="Q12" s="102"/>
      <c r="R12" s="104"/>
      <c r="S12" s="102"/>
      <c r="T12" s="104"/>
      <c r="U12" s="102"/>
    </row>
    <row r="13" customFormat="false" ht="15" hidden="false" customHeight="false" outlineLevel="0" collapsed="false">
      <c r="A13" s="93" t="s">
        <v>1338</v>
      </c>
      <c r="B13" s="105"/>
      <c r="C13" s="105"/>
      <c r="D13" s="105"/>
      <c r="E13" s="105"/>
      <c r="F13" s="99" t="str">
        <f aca="false">IF(E13="","",IFERROR(INDEX('Fontes e Parcerias'!$C$5:$C$500,MATCH(IFERROR(LEFT(E13,FIND(" · ",E13)-1),E13),'Fontes e Parcerias'!$A$5:$A$500,0)),"Fonte não encontrada"))</f>
        <v/>
      </c>
      <c r="G13" s="106"/>
      <c r="H13" s="105"/>
      <c r="I13" s="105"/>
      <c r="J13" s="118"/>
      <c r="K13" s="106"/>
      <c r="L13" s="106"/>
      <c r="M13" s="99" t="str">
        <f aca="false">IF(OR(K13="",L13=""),"",IF((IF(L13="Alto",3,IF(L13="Médio",2,1))-IF(K13="Alto",3,IF(K13="Médio",2,1)))=2,"⚡ Quick win",IF((IF(L13="Alto",3,IF(L13="Médio",2,1))-IF(K13="Alto",3,IF(K13="Médio",2,1)))=1,"🚀 Alto retorno",IF(AND(L13="Alto",K13="Alto"),"🎯 Estratégica",IF((IF(L13="Alto",3,IF(L13="Médio",2,1))-IF(K13="Alto",3,IF(K13="Médio",2,1)))=0,"⚖ Equilibrada","⏳ Baixo retorno")))))</f>
        <v/>
      </c>
      <c r="N13" s="105"/>
      <c r="O13" s="105"/>
      <c r="P13" s="106"/>
      <c r="Q13" s="105"/>
      <c r="R13" s="107"/>
      <c r="S13" s="105"/>
      <c r="T13" s="107"/>
      <c r="U13" s="105"/>
    </row>
    <row r="14" customFormat="false" ht="15" hidden="false" customHeight="false" outlineLevel="0" collapsed="false">
      <c r="A14" s="101" t="s">
        <v>1339</v>
      </c>
      <c r="B14" s="102"/>
      <c r="C14" s="102"/>
      <c r="D14" s="102"/>
      <c r="E14" s="102"/>
      <c r="F14" s="99" t="str">
        <f aca="false">IF(E14="","",IFERROR(INDEX('Fontes e Parcerias'!$C$5:$C$500,MATCH(IFERROR(LEFT(E14,FIND(" · ",E14)-1),E14),'Fontes e Parcerias'!$A$5:$A$500,0)),"Fonte não encontrada"))</f>
        <v/>
      </c>
      <c r="G14" s="103"/>
      <c r="H14" s="102"/>
      <c r="I14" s="102"/>
      <c r="J14" s="117"/>
      <c r="K14" s="103"/>
      <c r="L14" s="103"/>
      <c r="M14" s="99" t="str">
        <f aca="false">IF(OR(K14="",L14=""),"",IF((IF(L14="Alto",3,IF(L14="Médio",2,1))-IF(K14="Alto",3,IF(K14="Médio",2,1)))=2,"⚡ Quick win",IF((IF(L14="Alto",3,IF(L14="Médio",2,1))-IF(K14="Alto",3,IF(K14="Médio",2,1)))=1,"🚀 Alto retorno",IF(AND(L14="Alto",K14="Alto"),"🎯 Estratégica",IF((IF(L14="Alto",3,IF(L14="Médio",2,1))-IF(K14="Alto",3,IF(K14="Médio",2,1)))=0,"⚖ Equilibrada","⏳ Baixo retorno")))))</f>
        <v/>
      </c>
      <c r="N14" s="102"/>
      <c r="O14" s="102"/>
      <c r="P14" s="103"/>
      <c r="Q14" s="102"/>
      <c r="R14" s="104"/>
      <c r="S14" s="102"/>
      <c r="T14" s="104"/>
      <c r="U14" s="102"/>
    </row>
    <row r="15" customFormat="false" ht="15" hidden="false" customHeight="false" outlineLevel="0" collapsed="false">
      <c r="A15" s="93" t="s">
        <v>1340</v>
      </c>
      <c r="B15" s="105"/>
      <c r="C15" s="105"/>
      <c r="D15" s="105"/>
      <c r="E15" s="105"/>
      <c r="F15" s="99" t="str">
        <f aca="false">IF(E15="","",IFERROR(INDEX('Fontes e Parcerias'!$C$5:$C$500,MATCH(IFERROR(LEFT(E15,FIND(" · ",E15)-1),E15),'Fontes e Parcerias'!$A$5:$A$500,0)),"Fonte não encontrada"))</f>
        <v/>
      </c>
      <c r="G15" s="106"/>
      <c r="H15" s="105"/>
      <c r="I15" s="105"/>
      <c r="J15" s="118"/>
      <c r="K15" s="106"/>
      <c r="L15" s="106"/>
      <c r="M15" s="99" t="str">
        <f aca="false">IF(OR(K15="",L15=""),"",IF((IF(L15="Alto",3,IF(L15="Médio",2,1))-IF(K15="Alto",3,IF(K15="Médio",2,1)))=2,"⚡ Quick win",IF((IF(L15="Alto",3,IF(L15="Médio",2,1))-IF(K15="Alto",3,IF(K15="Médio",2,1)))=1,"🚀 Alto retorno",IF(AND(L15="Alto",K15="Alto"),"🎯 Estratégica",IF((IF(L15="Alto",3,IF(L15="Médio",2,1))-IF(K15="Alto",3,IF(K15="Médio",2,1)))=0,"⚖ Equilibrada","⏳ Baixo retorno")))))</f>
        <v/>
      </c>
      <c r="N15" s="105"/>
      <c r="O15" s="105"/>
      <c r="P15" s="106"/>
      <c r="Q15" s="105"/>
      <c r="R15" s="107"/>
      <c r="S15" s="105"/>
      <c r="T15" s="107"/>
      <c r="U15" s="105"/>
    </row>
    <row r="16" customFormat="false" ht="15" hidden="false" customHeight="false" outlineLevel="0" collapsed="false">
      <c r="A16" s="101" t="s">
        <v>1341</v>
      </c>
      <c r="B16" s="102"/>
      <c r="C16" s="102"/>
      <c r="D16" s="102"/>
      <c r="E16" s="102"/>
      <c r="F16" s="99" t="str">
        <f aca="false">IF(E16="","",IFERROR(INDEX('Fontes e Parcerias'!$C$5:$C$500,MATCH(IFERROR(LEFT(E16,FIND(" · ",E16)-1),E16),'Fontes e Parcerias'!$A$5:$A$500,0)),"Fonte não encontrada"))</f>
        <v/>
      </c>
      <c r="G16" s="103"/>
      <c r="H16" s="102"/>
      <c r="I16" s="102"/>
      <c r="J16" s="117"/>
      <c r="K16" s="103"/>
      <c r="L16" s="103"/>
      <c r="M16" s="99" t="str">
        <f aca="false">IF(OR(K16="",L16=""),"",IF((IF(L16="Alto",3,IF(L16="Médio",2,1))-IF(K16="Alto",3,IF(K16="Médio",2,1)))=2,"⚡ Quick win",IF((IF(L16="Alto",3,IF(L16="Médio",2,1))-IF(K16="Alto",3,IF(K16="Médio",2,1)))=1,"🚀 Alto retorno",IF(AND(L16="Alto",K16="Alto"),"🎯 Estratégica",IF((IF(L16="Alto",3,IF(L16="Médio",2,1))-IF(K16="Alto",3,IF(K16="Médio",2,1)))=0,"⚖ Equilibrada","⏳ Baixo retorno")))))</f>
        <v/>
      </c>
      <c r="N16" s="102"/>
      <c r="O16" s="102"/>
      <c r="P16" s="103"/>
      <c r="Q16" s="102"/>
      <c r="R16" s="104"/>
      <c r="S16" s="102"/>
      <c r="T16" s="104"/>
      <c r="U16" s="102"/>
    </row>
    <row r="17" customFormat="false" ht="15" hidden="false" customHeight="false" outlineLevel="0" collapsed="false">
      <c r="A17" s="93" t="s">
        <v>1342</v>
      </c>
      <c r="B17" s="105"/>
      <c r="C17" s="105"/>
      <c r="D17" s="105"/>
      <c r="E17" s="105"/>
      <c r="F17" s="99" t="str">
        <f aca="false">IF(E17="","",IFERROR(INDEX('Fontes e Parcerias'!$C$5:$C$500,MATCH(IFERROR(LEFT(E17,FIND(" · ",E17)-1),E17),'Fontes e Parcerias'!$A$5:$A$500,0)),"Fonte não encontrada"))</f>
        <v/>
      </c>
      <c r="G17" s="106"/>
      <c r="H17" s="105"/>
      <c r="I17" s="105"/>
      <c r="J17" s="118"/>
      <c r="K17" s="106"/>
      <c r="L17" s="106"/>
      <c r="M17" s="99" t="str">
        <f aca="false">IF(OR(K17="",L17=""),"",IF((IF(L17="Alto",3,IF(L17="Médio",2,1))-IF(K17="Alto",3,IF(K17="Médio",2,1)))=2,"⚡ Quick win",IF((IF(L17="Alto",3,IF(L17="Médio",2,1))-IF(K17="Alto",3,IF(K17="Médio",2,1)))=1,"🚀 Alto retorno",IF(AND(L17="Alto",K17="Alto"),"🎯 Estratégica",IF((IF(L17="Alto",3,IF(L17="Médio",2,1))-IF(K17="Alto",3,IF(K17="Médio",2,1)))=0,"⚖ Equilibrada","⏳ Baixo retorno")))))</f>
        <v/>
      </c>
      <c r="N17" s="105"/>
      <c r="O17" s="105"/>
      <c r="P17" s="106"/>
      <c r="Q17" s="105"/>
      <c r="R17" s="107"/>
      <c r="S17" s="105"/>
      <c r="T17" s="107"/>
      <c r="U17" s="105"/>
    </row>
    <row r="18" customFormat="false" ht="15" hidden="false" customHeight="false" outlineLevel="0" collapsed="false">
      <c r="A18" s="101" t="s">
        <v>1343</v>
      </c>
      <c r="B18" s="102"/>
      <c r="C18" s="102"/>
      <c r="D18" s="102"/>
      <c r="E18" s="102"/>
      <c r="F18" s="99" t="str">
        <f aca="false">IF(E18="","",IFERROR(INDEX('Fontes e Parcerias'!$C$5:$C$500,MATCH(IFERROR(LEFT(E18,FIND(" · ",E18)-1),E18),'Fontes e Parcerias'!$A$5:$A$500,0)),"Fonte não encontrada"))</f>
        <v/>
      </c>
      <c r="G18" s="103"/>
      <c r="H18" s="102"/>
      <c r="I18" s="102"/>
      <c r="J18" s="117"/>
      <c r="K18" s="103"/>
      <c r="L18" s="103"/>
      <c r="M18" s="99" t="str">
        <f aca="false">IF(OR(K18="",L18=""),"",IF((IF(L18="Alto",3,IF(L18="Médio",2,1))-IF(K18="Alto",3,IF(K18="Médio",2,1)))=2,"⚡ Quick win",IF((IF(L18="Alto",3,IF(L18="Médio",2,1))-IF(K18="Alto",3,IF(K18="Médio",2,1)))=1,"🚀 Alto retorno",IF(AND(L18="Alto",K18="Alto"),"🎯 Estratégica",IF((IF(L18="Alto",3,IF(L18="Médio",2,1))-IF(K18="Alto",3,IF(K18="Médio",2,1)))=0,"⚖ Equilibrada","⏳ Baixo retorno")))))</f>
        <v/>
      </c>
      <c r="N18" s="102"/>
      <c r="O18" s="102"/>
      <c r="P18" s="103"/>
      <c r="Q18" s="102"/>
      <c r="R18" s="104"/>
      <c r="S18" s="102"/>
      <c r="T18" s="104"/>
      <c r="U18" s="102"/>
    </row>
    <row r="19" customFormat="false" ht="15" hidden="false" customHeight="false" outlineLevel="0" collapsed="false">
      <c r="A19" s="93" t="s">
        <v>1344</v>
      </c>
      <c r="B19" s="105"/>
      <c r="C19" s="105"/>
      <c r="D19" s="105"/>
      <c r="E19" s="105"/>
      <c r="F19" s="99" t="str">
        <f aca="false">IF(E19="","",IFERROR(INDEX('Fontes e Parcerias'!$C$5:$C$500,MATCH(IFERROR(LEFT(E19,FIND(" · ",E19)-1),E19),'Fontes e Parcerias'!$A$5:$A$500,0)),"Fonte não encontrada"))</f>
        <v/>
      </c>
      <c r="G19" s="106"/>
      <c r="H19" s="105"/>
      <c r="I19" s="105"/>
      <c r="J19" s="118"/>
      <c r="K19" s="106"/>
      <c r="L19" s="106"/>
      <c r="M19" s="99" t="str">
        <f aca="false">IF(OR(K19="",L19=""),"",IF((IF(L19="Alto",3,IF(L19="Médio",2,1))-IF(K19="Alto",3,IF(K19="Médio",2,1)))=2,"⚡ Quick win",IF((IF(L19="Alto",3,IF(L19="Médio",2,1))-IF(K19="Alto",3,IF(K19="Médio",2,1)))=1,"🚀 Alto retorno",IF(AND(L19="Alto",K19="Alto"),"🎯 Estratégica",IF((IF(L19="Alto",3,IF(L19="Médio",2,1))-IF(K19="Alto",3,IF(K19="Médio",2,1)))=0,"⚖ Equilibrada","⏳ Baixo retorno")))))</f>
        <v/>
      </c>
      <c r="N19" s="105"/>
      <c r="O19" s="105"/>
      <c r="P19" s="106"/>
      <c r="Q19" s="105"/>
      <c r="R19" s="107"/>
      <c r="S19" s="105"/>
      <c r="T19" s="107"/>
      <c r="U19" s="105"/>
    </row>
    <row r="20" customFormat="false" ht="15" hidden="false" customHeight="false" outlineLevel="0" collapsed="false">
      <c r="A20" s="101" t="s">
        <v>1345</v>
      </c>
      <c r="B20" s="102"/>
      <c r="C20" s="102"/>
      <c r="D20" s="102"/>
      <c r="E20" s="102"/>
      <c r="F20" s="99" t="str">
        <f aca="false">IF(E20="","",IFERROR(INDEX('Fontes e Parcerias'!$C$5:$C$500,MATCH(IFERROR(LEFT(E20,FIND(" · ",E20)-1),E20),'Fontes e Parcerias'!$A$5:$A$500,0)),"Fonte não encontrada"))</f>
        <v/>
      </c>
      <c r="G20" s="103"/>
      <c r="H20" s="102"/>
      <c r="I20" s="102"/>
      <c r="J20" s="117"/>
      <c r="K20" s="103"/>
      <c r="L20" s="103"/>
      <c r="M20" s="99" t="str">
        <f aca="false">IF(OR(K20="",L20=""),"",IF((IF(L20="Alto",3,IF(L20="Médio",2,1))-IF(K20="Alto",3,IF(K20="Médio",2,1)))=2,"⚡ Quick win",IF((IF(L20="Alto",3,IF(L20="Médio",2,1))-IF(K20="Alto",3,IF(K20="Médio",2,1)))=1,"🚀 Alto retorno",IF(AND(L20="Alto",K20="Alto"),"🎯 Estratégica",IF((IF(L20="Alto",3,IF(L20="Médio",2,1))-IF(K20="Alto",3,IF(K20="Médio",2,1)))=0,"⚖ Equilibrada","⏳ Baixo retorno")))))</f>
        <v/>
      </c>
      <c r="N20" s="102"/>
      <c r="O20" s="102"/>
      <c r="P20" s="103"/>
      <c r="Q20" s="102"/>
      <c r="R20" s="104"/>
      <c r="S20" s="102"/>
      <c r="T20" s="104"/>
      <c r="U20" s="102"/>
    </row>
    <row r="21" customFormat="false" ht="15" hidden="false" customHeight="false" outlineLevel="0" collapsed="false">
      <c r="A21" s="93" t="s">
        <v>1346</v>
      </c>
      <c r="B21" s="105"/>
      <c r="C21" s="105"/>
      <c r="D21" s="105"/>
      <c r="E21" s="105"/>
      <c r="F21" s="99" t="str">
        <f aca="false">IF(E21="","",IFERROR(INDEX('Fontes e Parcerias'!$C$5:$C$500,MATCH(IFERROR(LEFT(E21,FIND(" · ",E21)-1),E21),'Fontes e Parcerias'!$A$5:$A$500,0)),"Fonte não encontrada"))</f>
        <v/>
      </c>
      <c r="G21" s="106"/>
      <c r="H21" s="105"/>
      <c r="I21" s="105"/>
      <c r="J21" s="118"/>
      <c r="K21" s="106"/>
      <c r="L21" s="106"/>
      <c r="M21" s="99" t="str">
        <f aca="false">IF(OR(K21="",L21=""),"",IF((IF(L21="Alto",3,IF(L21="Médio",2,1))-IF(K21="Alto",3,IF(K21="Médio",2,1)))=2,"⚡ Quick win",IF((IF(L21="Alto",3,IF(L21="Médio",2,1))-IF(K21="Alto",3,IF(K21="Médio",2,1)))=1,"🚀 Alto retorno",IF(AND(L21="Alto",K21="Alto"),"🎯 Estratégica",IF((IF(L21="Alto",3,IF(L21="Médio",2,1))-IF(K21="Alto",3,IF(K21="Médio",2,1)))=0,"⚖ Equilibrada","⏳ Baixo retorno")))))</f>
        <v/>
      </c>
      <c r="N21" s="105"/>
      <c r="O21" s="105"/>
      <c r="P21" s="106"/>
      <c r="Q21" s="105"/>
      <c r="R21" s="107"/>
      <c r="S21" s="105"/>
      <c r="T21" s="107"/>
      <c r="U21" s="105"/>
    </row>
    <row r="22" customFormat="false" ht="15" hidden="false" customHeight="false" outlineLevel="0" collapsed="false">
      <c r="A22" s="101" t="s">
        <v>1347</v>
      </c>
      <c r="B22" s="102"/>
      <c r="C22" s="102"/>
      <c r="D22" s="102"/>
      <c r="E22" s="102"/>
      <c r="F22" s="99" t="str">
        <f aca="false">IF(E22="","",IFERROR(INDEX('Fontes e Parcerias'!$C$5:$C$500,MATCH(IFERROR(LEFT(E22,FIND(" · ",E22)-1),E22),'Fontes e Parcerias'!$A$5:$A$500,0)),"Fonte não encontrada"))</f>
        <v/>
      </c>
      <c r="G22" s="103"/>
      <c r="H22" s="102"/>
      <c r="I22" s="102"/>
      <c r="J22" s="117"/>
      <c r="K22" s="103"/>
      <c r="L22" s="103"/>
      <c r="M22" s="99" t="str">
        <f aca="false">IF(OR(K22="",L22=""),"",IF((IF(L22="Alto",3,IF(L22="Médio",2,1))-IF(K22="Alto",3,IF(K22="Médio",2,1)))=2,"⚡ Quick win",IF((IF(L22="Alto",3,IF(L22="Médio",2,1))-IF(K22="Alto",3,IF(K22="Médio",2,1)))=1,"🚀 Alto retorno",IF(AND(L22="Alto",K22="Alto"),"🎯 Estratégica",IF((IF(L22="Alto",3,IF(L22="Médio",2,1))-IF(K22="Alto",3,IF(K22="Médio",2,1)))=0,"⚖ Equilibrada","⏳ Baixo retorno")))))</f>
        <v/>
      </c>
      <c r="N22" s="102"/>
      <c r="O22" s="102"/>
      <c r="P22" s="103"/>
      <c r="Q22" s="102"/>
      <c r="R22" s="104"/>
      <c r="S22" s="102"/>
      <c r="T22" s="104"/>
      <c r="U22" s="102"/>
    </row>
    <row r="23" customFormat="false" ht="15" hidden="false" customHeight="false" outlineLevel="0" collapsed="false">
      <c r="A23" s="93" t="s">
        <v>1348</v>
      </c>
      <c r="B23" s="105"/>
      <c r="C23" s="105"/>
      <c r="D23" s="105"/>
      <c r="E23" s="105"/>
      <c r="F23" s="99" t="str">
        <f aca="false">IF(E23="","",IFERROR(INDEX('Fontes e Parcerias'!$C$5:$C$500,MATCH(IFERROR(LEFT(E23,FIND(" · ",E23)-1),E23),'Fontes e Parcerias'!$A$5:$A$500,0)),"Fonte não encontrada"))</f>
        <v/>
      </c>
      <c r="G23" s="106"/>
      <c r="H23" s="105"/>
      <c r="I23" s="105"/>
      <c r="J23" s="118"/>
      <c r="K23" s="106"/>
      <c r="L23" s="106"/>
      <c r="M23" s="99" t="str">
        <f aca="false">IF(OR(K23="",L23=""),"",IF((IF(L23="Alto",3,IF(L23="Médio",2,1))-IF(K23="Alto",3,IF(K23="Médio",2,1)))=2,"⚡ Quick win",IF((IF(L23="Alto",3,IF(L23="Médio",2,1))-IF(K23="Alto",3,IF(K23="Médio",2,1)))=1,"🚀 Alto retorno",IF(AND(L23="Alto",K23="Alto"),"🎯 Estratégica",IF((IF(L23="Alto",3,IF(L23="Médio",2,1))-IF(K23="Alto",3,IF(K23="Médio",2,1)))=0,"⚖ Equilibrada","⏳ Baixo retorno")))))</f>
        <v/>
      </c>
      <c r="N23" s="105"/>
      <c r="O23" s="105"/>
      <c r="P23" s="106"/>
      <c r="Q23" s="105"/>
      <c r="R23" s="107"/>
      <c r="S23" s="105"/>
      <c r="T23" s="107"/>
      <c r="U23" s="105"/>
    </row>
    <row r="24" customFormat="false" ht="15" hidden="false" customHeight="false" outlineLevel="0" collapsed="false">
      <c r="A24" s="101" t="s">
        <v>1349</v>
      </c>
      <c r="B24" s="102"/>
      <c r="C24" s="102"/>
      <c r="D24" s="102"/>
      <c r="E24" s="102"/>
      <c r="F24" s="99" t="str">
        <f aca="false">IF(E24="","",IFERROR(INDEX('Fontes e Parcerias'!$C$5:$C$500,MATCH(IFERROR(LEFT(E24,FIND(" · ",E24)-1),E24),'Fontes e Parcerias'!$A$5:$A$500,0)),"Fonte não encontrada"))</f>
        <v/>
      </c>
      <c r="G24" s="103"/>
      <c r="H24" s="102"/>
      <c r="I24" s="102"/>
      <c r="J24" s="117"/>
      <c r="K24" s="103"/>
      <c r="L24" s="103"/>
      <c r="M24" s="99" t="str">
        <f aca="false">IF(OR(K24="",L24=""),"",IF((IF(L24="Alto",3,IF(L24="Médio",2,1))-IF(K24="Alto",3,IF(K24="Médio",2,1)))=2,"⚡ Quick win",IF((IF(L24="Alto",3,IF(L24="Médio",2,1))-IF(K24="Alto",3,IF(K24="Médio",2,1)))=1,"🚀 Alto retorno",IF(AND(L24="Alto",K24="Alto"),"🎯 Estratégica",IF((IF(L24="Alto",3,IF(L24="Médio",2,1))-IF(K24="Alto",3,IF(K24="Médio",2,1)))=0,"⚖ Equilibrada","⏳ Baixo retorno")))))</f>
        <v/>
      </c>
      <c r="N24" s="102"/>
      <c r="O24" s="102"/>
      <c r="P24" s="103"/>
      <c r="Q24" s="102"/>
      <c r="R24" s="104"/>
      <c r="S24" s="102"/>
      <c r="T24" s="104"/>
      <c r="U24" s="102"/>
    </row>
    <row r="25" customFormat="false" ht="15" hidden="false" customHeight="false" outlineLevel="0" collapsed="false">
      <c r="A25" s="93" t="s">
        <v>1350</v>
      </c>
      <c r="B25" s="105"/>
      <c r="C25" s="105"/>
      <c r="D25" s="105"/>
      <c r="E25" s="105"/>
      <c r="F25" s="99" t="str">
        <f aca="false">IF(E25="","",IFERROR(INDEX('Fontes e Parcerias'!$C$5:$C$500,MATCH(IFERROR(LEFT(E25,FIND(" · ",E25)-1),E25),'Fontes e Parcerias'!$A$5:$A$500,0)),"Fonte não encontrada"))</f>
        <v/>
      </c>
      <c r="G25" s="106"/>
      <c r="H25" s="105"/>
      <c r="I25" s="105"/>
      <c r="J25" s="118"/>
      <c r="K25" s="106"/>
      <c r="L25" s="106"/>
      <c r="M25" s="99" t="str">
        <f aca="false">IF(OR(K25="",L25=""),"",IF((IF(L25="Alto",3,IF(L25="Médio",2,1))-IF(K25="Alto",3,IF(K25="Médio",2,1)))=2,"⚡ Quick win",IF((IF(L25="Alto",3,IF(L25="Médio",2,1))-IF(K25="Alto",3,IF(K25="Médio",2,1)))=1,"🚀 Alto retorno",IF(AND(L25="Alto",K25="Alto"),"🎯 Estratégica",IF((IF(L25="Alto",3,IF(L25="Médio",2,1))-IF(K25="Alto",3,IF(K25="Médio",2,1)))=0,"⚖ Equilibrada","⏳ Baixo retorno")))))</f>
        <v/>
      </c>
      <c r="N25" s="105"/>
      <c r="O25" s="105"/>
      <c r="P25" s="106"/>
      <c r="Q25" s="105"/>
      <c r="R25" s="107"/>
      <c r="S25" s="105"/>
      <c r="T25" s="107"/>
      <c r="U25" s="105"/>
    </row>
    <row r="26" customFormat="false" ht="15" hidden="false" customHeight="false" outlineLevel="0" collapsed="false">
      <c r="A26" s="101" t="s">
        <v>1351</v>
      </c>
      <c r="B26" s="102"/>
      <c r="C26" s="102"/>
      <c r="D26" s="102"/>
      <c r="E26" s="102"/>
      <c r="F26" s="99" t="str">
        <f aca="false">IF(E26="","",IFERROR(INDEX('Fontes e Parcerias'!$C$5:$C$500,MATCH(IFERROR(LEFT(E26,FIND(" · ",E26)-1),E26),'Fontes e Parcerias'!$A$5:$A$500,0)),"Fonte não encontrada"))</f>
        <v/>
      </c>
      <c r="G26" s="103"/>
      <c r="H26" s="102"/>
      <c r="I26" s="102"/>
      <c r="J26" s="117"/>
      <c r="K26" s="103"/>
      <c r="L26" s="103"/>
      <c r="M26" s="99" t="str">
        <f aca="false">IF(OR(K26="",L26=""),"",IF((IF(L26="Alto",3,IF(L26="Médio",2,1))-IF(K26="Alto",3,IF(K26="Médio",2,1)))=2,"⚡ Quick win",IF((IF(L26="Alto",3,IF(L26="Médio",2,1))-IF(K26="Alto",3,IF(K26="Médio",2,1)))=1,"🚀 Alto retorno",IF(AND(L26="Alto",K26="Alto"),"🎯 Estratégica",IF((IF(L26="Alto",3,IF(L26="Médio",2,1))-IF(K26="Alto",3,IF(K26="Médio",2,1)))=0,"⚖ Equilibrada","⏳ Baixo retorno")))))</f>
        <v/>
      </c>
      <c r="N26" s="102"/>
      <c r="O26" s="102"/>
      <c r="P26" s="103"/>
      <c r="Q26" s="102"/>
      <c r="R26" s="104"/>
      <c r="S26" s="102"/>
      <c r="T26" s="104"/>
      <c r="U26" s="102"/>
    </row>
    <row r="27" customFormat="false" ht="15" hidden="false" customHeight="false" outlineLevel="0" collapsed="false">
      <c r="A27" s="93" t="s">
        <v>1352</v>
      </c>
      <c r="B27" s="105"/>
      <c r="C27" s="105"/>
      <c r="D27" s="105"/>
      <c r="E27" s="105"/>
      <c r="F27" s="99" t="str">
        <f aca="false">IF(E27="","",IFERROR(INDEX('Fontes e Parcerias'!$C$5:$C$500,MATCH(IFERROR(LEFT(E27,FIND(" · ",E27)-1),E27),'Fontes e Parcerias'!$A$5:$A$500,0)),"Fonte não encontrada"))</f>
        <v/>
      </c>
      <c r="G27" s="106"/>
      <c r="H27" s="105"/>
      <c r="I27" s="105"/>
      <c r="J27" s="118"/>
      <c r="K27" s="106"/>
      <c r="L27" s="106"/>
      <c r="M27" s="99" t="str">
        <f aca="false">IF(OR(K27="",L27=""),"",IF((IF(L27="Alto",3,IF(L27="Médio",2,1))-IF(K27="Alto",3,IF(K27="Médio",2,1)))=2,"⚡ Quick win",IF((IF(L27="Alto",3,IF(L27="Médio",2,1))-IF(K27="Alto",3,IF(K27="Médio",2,1)))=1,"🚀 Alto retorno",IF(AND(L27="Alto",K27="Alto"),"🎯 Estratégica",IF((IF(L27="Alto",3,IF(L27="Médio",2,1))-IF(K27="Alto",3,IF(K27="Médio",2,1)))=0,"⚖ Equilibrada","⏳ Baixo retorno")))))</f>
        <v/>
      </c>
      <c r="N27" s="105"/>
      <c r="O27" s="105"/>
      <c r="P27" s="106"/>
      <c r="Q27" s="105"/>
      <c r="R27" s="107"/>
      <c r="S27" s="105"/>
      <c r="T27" s="107"/>
      <c r="U27" s="105"/>
    </row>
    <row r="28" customFormat="false" ht="15" hidden="false" customHeight="false" outlineLevel="0" collapsed="false">
      <c r="A28" s="101" t="s">
        <v>1353</v>
      </c>
      <c r="B28" s="102"/>
      <c r="C28" s="102"/>
      <c r="D28" s="102"/>
      <c r="E28" s="102"/>
      <c r="F28" s="99" t="str">
        <f aca="false">IF(E28="","",IFERROR(INDEX('Fontes e Parcerias'!$C$5:$C$500,MATCH(IFERROR(LEFT(E28,FIND(" · ",E28)-1),E28),'Fontes e Parcerias'!$A$5:$A$500,0)),"Fonte não encontrada"))</f>
        <v/>
      </c>
      <c r="G28" s="103"/>
      <c r="H28" s="102"/>
      <c r="I28" s="102"/>
      <c r="J28" s="117"/>
      <c r="K28" s="103"/>
      <c r="L28" s="103"/>
      <c r="M28" s="99" t="str">
        <f aca="false">IF(OR(K28="",L28=""),"",IF((IF(L28="Alto",3,IF(L28="Médio",2,1))-IF(K28="Alto",3,IF(K28="Médio",2,1)))=2,"⚡ Quick win",IF((IF(L28="Alto",3,IF(L28="Médio",2,1))-IF(K28="Alto",3,IF(K28="Médio",2,1)))=1,"🚀 Alto retorno",IF(AND(L28="Alto",K28="Alto"),"🎯 Estratégica",IF((IF(L28="Alto",3,IF(L28="Médio",2,1))-IF(K28="Alto",3,IF(K28="Médio",2,1)))=0,"⚖ Equilibrada","⏳ Baixo retorno")))))</f>
        <v/>
      </c>
      <c r="N28" s="102"/>
      <c r="O28" s="102"/>
      <c r="P28" s="103"/>
      <c r="Q28" s="102"/>
      <c r="R28" s="104"/>
      <c r="S28" s="102"/>
      <c r="T28" s="104"/>
      <c r="U28" s="102"/>
    </row>
    <row r="29" customFormat="false" ht="15" hidden="false" customHeight="false" outlineLevel="0" collapsed="false">
      <c r="A29" s="93" t="s">
        <v>1354</v>
      </c>
      <c r="B29" s="105"/>
      <c r="C29" s="105"/>
      <c r="D29" s="105"/>
      <c r="E29" s="105"/>
      <c r="F29" s="99" t="str">
        <f aca="false">IF(E29="","",IFERROR(INDEX('Fontes e Parcerias'!$C$5:$C$500,MATCH(IFERROR(LEFT(E29,FIND(" · ",E29)-1),E29),'Fontes e Parcerias'!$A$5:$A$500,0)),"Fonte não encontrada"))</f>
        <v/>
      </c>
      <c r="G29" s="106"/>
      <c r="H29" s="105"/>
      <c r="I29" s="105"/>
      <c r="J29" s="118"/>
      <c r="K29" s="106"/>
      <c r="L29" s="106"/>
      <c r="M29" s="99" t="str">
        <f aca="false">IF(OR(K29="",L29=""),"",IF((IF(L29="Alto",3,IF(L29="Médio",2,1))-IF(K29="Alto",3,IF(K29="Médio",2,1)))=2,"⚡ Quick win",IF((IF(L29="Alto",3,IF(L29="Médio",2,1))-IF(K29="Alto",3,IF(K29="Médio",2,1)))=1,"🚀 Alto retorno",IF(AND(L29="Alto",K29="Alto"),"🎯 Estratégica",IF((IF(L29="Alto",3,IF(L29="Médio",2,1))-IF(K29="Alto",3,IF(K29="Médio",2,1)))=0,"⚖ Equilibrada","⏳ Baixo retorno")))))</f>
        <v/>
      </c>
      <c r="N29" s="105"/>
      <c r="O29" s="105"/>
      <c r="P29" s="106"/>
      <c r="Q29" s="105"/>
      <c r="R29" s="107"/>
      <c r="S29" s="105"/>
      <c r="T29" s="107"/>
      <c r="U29" s="105"/>
    </row>
    <row r="30" customFormat="false" ht="15" hidden="false" customHeight="false" outlineLevel="0" collapsed="false">
      <c r="A30" s="101" t="s">
        <v>1355</v>
      </c>
      <c r="B30" s="102"/>
      <c r="C30" s="102"/>
      <c r="D30" s="102"/>
      <c r="E30" s="102"/>
      <c r="F30" s="99" t="str">
        <f aca="false">IF(E30="","",IFERROR(INDEX('Fontes e Parcerias'!$C$5:$C$500,MATCH(IFERROR(LEFT(E30,FIND(" · ",E30)-1),E30),'Fontes e Parcerias'!$A$5:$A$500,0)),"Fonte não encontrada"))</f>
        <v/>
      </c>
      <c r="G30" s="103"/>
      <c r="H30" s="102"/>
      <c r="I30" s="102"/>
      <c r="J30" s="117"/>
      <c r="K30" s="103"/>
      <c r="L30" s="103"/>
      <c r="M30" s="99" t="str">
        <f aca="false">IF(OR(K30="",L30=""),"",IF((IF(L30="Alto",3,IF(L30="Médio",2,1))-IF(K30="Alto",3,IF(K30="Médio",2,1)))=2,"⚡ Quick win",IF((IF(L30="Alto",3,IF(L30="Médio",2,1))-IF(K30="Alto",3,IF(K30="Médio",2,1)))=1,"🚀 Alto retorno",IF(AND(L30="Alto",K30="Alto"),"🎯 Estratégica",IF((IF(L30="Alto",3,IF(L30="Médio",2,1))-IF(K30="Alto",3,IF(K30="Médio",2,1)))=0,"⚖ Equilibrada","⏳ Baixo retorno")))))</f>
        <v/>
      </c>
      <c r="N30" s="102"/>
      <c r="O30" s="102"/>
      <c r="P30" s="103"/>
      <c r="Q30" s="102"/>
      <c r="R30" s="104"/>
      <c r="S30" s="102"/>
      <c r="T30" s="104"/>
      <c r="U30" s="102"/>
    </row>
    <row r="31" customFormat="false" ht="15" hidden="false" customHeight="false" outlineLevel="0" collapsed="false">
      <c r="A31" s="93" t="s">
        <v>1356</v>
      </c>
      <c r="B31" s="105"/>
      <c r="C31" s="105"/>
      <c r="D31" s="105"/>
      <c r="E31" s="105"/>
      <c r="F31" s="99" t="str">
        <f aca="false">IF(E31="","",IFERROR(INDEX('Fontes e Parcerias'!$C$5:$C$500,MATCH(IFERROR(LEFT(E31,FIND(" · ",E31)-1),E31),'Fontes e Parcerias'!$A$5:$A$500,0)),"Fonte não encontrada"))</f>
        <v/>
      </c>
      <c r="G31" s="106"/>
      <c r="H31" s="105"/>
      <c r="I31" s="105"/>
      <c r="J31" s="118"/>
      <c r="K31" s="106"/>
      <c r="L31" s="106"/>
      <c r="M31" s="99" t="str">
        <f aca="false">IF(OR(K31="",L31=""),"",IF((IF(L31="Alto",3,IF(L31="Médio",2,1))-IF(K31="Alto",3,IF(K31="Médio",2,1)))=2,"⚡ Quick win",IF((IF(L31="Alto",3,IF(L31="Médio",2,1))-IF(K31="Alto",3,IF(K31="Médio",2,1)))=1,"🚀 Alto retorno",IF(AND(L31="Alto",K31="Alto"),"🎯 Estratégica",IF((IF(L31="Alto",3,IF(L31="Médio",2,1))-IF(K31="Alto",3,IF(K31="Médio",2,1)))=0,"⚖ Equilibrada","⏳ Baixo retorno")))))</f>
        <v/>
      </c>
      <c r="N31" s="105"/>
      <c r="O31" s="105"/>
      <c r="P31" s="106"/>
      <c r="Q31" s="105"/>
      <c r="R31" s="107"/>
      <c r="S31" s="105"/>
      <c r="T31" s="107"/>
      <c r="U31" s="105"/>
    </row>
    <row r="32" customFormat="false" ht="15" hidden="false" customHeight="false" outlineLevel="0" collapsed="false">
      <c r="A32" s="101" t="s">
        <v>1357</v>
      </c>
      <c r="B32" s="102"/>
      <c r="C32" s="102"/>
      <c r="D32" s="102"/>
      <c r="E32" s="102"/>
      <c r="F32" s="99" t="str">
        <f aca="false">IF(E32="","",IFERROR(INDEX('Fontes e Parcerias'!$C$5:$C$500,MATCH(IFERROR(LEFT(E32,FIND(" · ",E32)-1),E32),'Fontes e Parcerias'!$A$5:$A$500,0)),"Fonte não encontrada"))</f>
        <v/>
      </c>
      <c r="G32" s="103"/>
      <c r="H32" s="102"/>
      <c r="I32" s="102"/>
      <c r="J32" s="117"/>
      <c r="K32" s="103"/>
      <c r="L32" s="103"/>
      <c r="M32" s="99" t="str">
        <f aca="false">IF(OR(K32="",L32=""),"",IF((IF(L32="Alto",3,IF(L32="Médio",2,1))-IF(K32="Alto",3,IF(K32="Médio",2,1)))=2,"⚡ Quick win",IF((IF(L32="Alto",3,IF(L32="Médio",2,1))-IF(K32="Alto",3,IF(K32="Médio",2,1)))=1,"🚀 Alto retorno",IF(AND(L32="Alto",K32="Alto"),"🎯 Estratégica",IF((IF(L32="Alto",3,IF(L32="Médio",2,1))-IF(K32="Alto",3,IF(K32="Médio",2,1)))=0,"⚖ Equilibrada","⏳ Baixo retorno")))))</f>
        <v/>
      </c>
      <c r="N32" s="102"/>
      <c r="O32" s="102"/>
      <c r="P32" s="103"/>
      <c r="Q32" s="102"/>
      <c r="R32" s="104"/>
      <c r="S32" s="102"/>
      <c r="T32" s="104"/>
      <c r="U32" s="102"/>
    </row>
    <row r="33" customFormat="false" ht="15" hidden="false" customHeight="false" outlineLevel="0" collapsed="false">
      <c r="A33" s="93" t="s">
        <v>1358</v>
      </c>
      <c r="B33" s="105"/>
      <c r="C33" s="105"/>
      <c r="D33" s="105"/>
      <c r="E33" s="105"/>
      <c r="F33" s="99" t="str">
        <f aca="false">IF(E33="","",IFERROR(INDEX('Fontes e Parcerias'!$C$5:$C$500,MATCH(IFERROR(LEFT(E33,FIND(" · ",E33)-1),E33),'Fontes e Parcerias'!$A$5:$A$500,0)),"Fonte não encontrada"))</f>
        <v/>
      </c>
      <c r="G33" s="106"/>
      <c r="H33" s="105"/>
      <c r="I33" s="105"/>
      <c r="J33" s="118"/>
      <c r="K33" s="106"/>
      <c r="L33" s="106"/>
      <c r="M33" s="99" t="str">
        <f aca="false">IF(OR(K33="",L33=""),"",IF((IF(L33="Alto",3,IF(L33="Médio",2,1))-IF(K33="Alto",3,IF(K33="Médio",2,1)))=2,"⚡ Quick win",IF((IF(L33="Alto",3,IF(L33="Médio",2,1))-IF(K33="Alto",3,IF(K33="Médio",2,1)))=1,"🚀 Alto retorno",IF(AND(L33="Alto",K33="Alto"),"🎯 Estratégica",IF((IF(L33="Alto",3,IF(L33="Médio",2,1))-IF(K33="Alto",3,IF(K33="Médio",2,1)))=0,"⚖ Equilibrada","⏳ Baixo retorno")))))</f>
        <v/>
      </c>
      <c r="N33" s="105"/>
      <c r="O33" s="105"/>
      <c r="P33" s="106"/>
      <c r="Q33" s="105"/>
      <c r="R33" s="107"/>
      <c r="S33" s="105"/>
      <c r="T33" s="107"/>
      <c r="U33" s="105"/>
    </row>
    <row r="34" customFormat="false" ht="15" hidden="false" customHeight="false" outlineLevel="0" collapsed="false">
      <c r="A34" s="101" t="s">
        <v>1359</v>
      </c>
      <c r="B34" s="102"/>
      <c r="C34" s="102"/>
      <c r="D34" s="102"/>
      <c r="E34" s="102"/>
      <c r="F34" s="99" t="str">
        <f aca="false">IF(E34="","",IFERROR(INDEX('Fontes e Parcerias'!$C$5:$C$500,MATCH(IFERROR(LEFT(E34,FIND(" · ",E34)-1),E34),'Fontes e Parcerias'!$A$5:$A$500,0)),"Fonte não encontrada"))</f>
        <v/>
      </c>
      <c r="G34" s="103"/>
      <c r="H34" s="102"/>
      <c r="I34" s="102"/>
      <c r="J34" s="117"/>
      <c r="K34" s="103"/>
      <c r="L34" s="103"/>
      <c r="M34" s="99" t="str">
        <f aca="false">IF(OR(K34="",L34=""),"",IF((IF(L34="Alto",3,IF(L34="Médio",2,1))-IF(K34="Alto",3,IF(K34="Médio",2,1)))=2,"⚡ Quick win",IF((IF(L34="Alto",3,IF(L34="Médio",2,1))-IF(K34="Alto",3,IF(K34="Médio",2,1)))=1,"🚀 Alto retorno",IF(AND(L34="Alto",K34="Alto"),"🎯 Estratégica",IF((IF(L34="Alto",3,IF(L34="Médio",2,1))-IF(K34="Alto",3,IF(K34="Médio",2,1)))=0,"⚖ Equilibrada","⏳ Baixo retorno")))))</f>
        <v/>
      </c>
      <c r="N34" s="102"/>
      <c r="O34" s="102"/>
      <c r="P34" s="103"/>
      <c r="Q34" s="102"/>
      <c r="R34" s="104"/>
      <c r="S34" s="102"/>
      <c r="T34" s="104"/>
      <c r="U34" s="102"/>
    </row>
    <row r="35" customFormat="false" ht="15" hidden="false" customHeight="false" outlineLevel="0" collapsed="false">
      <c r="A35" s="93" t="s">
        <v>1360</v>
      </c>
      <c r="B35" s="105"/>
      <c r="C35" s="105"/>
      <c r="D35" s="105"/>
      <c r="E35" s="105"/>
      <c r="F35" s="99" t="str">
        <f aca="false">IF(E35="","",IFERROR(INDEX('Fontes e Parcerias'!$C$5:$C$500,MATCH(IFERROR(LEFT(E35,FIND(" · ",E35)-1),E35),'Fontes e Parcerias'!$A$5:$A$500,0)),"Fonte não encontrada"))</f>
        <v/>
      </c>
      <c r="G35" s="106"/>
      <c r="H35" s="105"/>
      <c r="I35" s="105"/>
      <c r="J35" s="118"/>
      <c r="K35" s="106"/>
      <c r="L35" s="106"/>
      <c r="M35" s="99" t="str">
        <f aca="false">IF(OR(K35="",L35=""),"",IF((IF(L35="Alto",3,IF(L35="Médio",2,1))-IF(K35="Alto",3,IF(K35="Médio",2,1)))=2,"⚡ Quick win",IF((IF(L35="Alto",3,IF(L35="Médio",2,1))-IF(K35="Alto",3,IF(K35="Médio",2,1)))=1,"🚀 Alto retorno",IF(AND(L35="Alto",K35="Alto"),"🎯 Estratégica",IF((IF(L35="Alto",3,IF(L35="Médio",2,1))-IF(K35="Alto",3,IF(K35="Médio",2,1)))=0,"⚖ Equilibrada","⏳ Baixo retorno")))))</f>
        <v/>
      </c>
      <c r="N35" s="105"/>
      <c r="O35" s="105"/>
      <c r="P35" s="106"/>
      <c r="Q35" s="105"/>
      <c r="R35" s="107"/>
      <c r="S35" s="105"/>
      <c r="T35" s="107"/>
      <c r="U35" s="105"/>
    </row>
    <row r="36" customFormat="false" ht="15" hidden="false" customHeight="false" outlineLevel="0" collapsed="false">
      <c r="A36" s="101" t="s">
        <v>1361</v>
      </c>
      <c r="B36" s="102"/>
      <c r="C36" s="102"/>
      <c r="D36" s="102"/>
      <c r="E36" s="102"/>
      <c r="F36" s="99" t="str">
        <f aca="false">IF(E36="","",IFERROR(INDEX('Fontes e Parcerias'!$C$5:$C$500,MATCH(IFERROR(LEFT(E36,FIND(" · ",E36)-1),E36),'Fontes e Parcerias'!$A$5:$A$500,0)),"Fonte não encontrada"))</f>
        <v/>
      </c>
      <c r="G36" s="103"/>
      <c r="H36" s="102"/>
      <c r="I36" s="102"/>
      <c r="J36" s="117"/>
      <c r="K36" s="103"/>
      <c r="L36" s="103"/>
      <c r="M36" s="99" t="str">
        <f aca="false">IF(OR(K36="",L36=""),"",IF((IF(L36="Alto",3,IF(L36="Médio",2,1))-IF(K36="Alto",3,IF(K36="Médio",2,1)))=2,"⚡ Quick win",IF((IF(L36="Alto",3,IF(L36="Médio",2,1))-IF(K36="Alto",3,IF(K36="Médio",2,1)))=1,"🚀 Alto retorno",IF(AND(L36="Alto",K36="Alto"),"🎯 Estratégica",IF((IF(L36="Alto",3,IF(L36="Médio",2,1))-IF(K36="Alto",3,IF(K36="Médio",2,1)))=0,"⚖ Equilibrada","⏳ Baixo retorno")))))</f>
        <v/>
      </c>
      <c r="N36" s="102"/>
      <c r="O36" s="102"/>
      <c r="P36" s="103"/>
      <c r="Q36" s="102"/>
      <c r="R36" s="104"/>
      <c r="S36" s="102"/>
      <c r="T36" s="104"/>
      <c r="U36" s="102"/>
    </row>
    <row r="37" customFormat="false" ht="15" hidden="false" customHeight="false" outlineLevel="0" collapsed="false">
      <c r="A37" s="93" t="s">
        <v>1362</v>
      </c>
      <c r="B37" s="105"/>
      <c r="C37" s="105"/>
      <c r="D37" s="105"/>
      <c r="E37" s="105"/>
      <c r="F37" s="99" t="str">
        <f aca="false">IF(E37="","",IFERROR(INDEX('Fontes e Parcerias'!$C$5:$C$500,MATCH(IFERROR(LEFT(E37,FIND(" · ",E37)-1),E37),'Fontes e Parcerias'!$A$5:$A$500,0)),"Fonte não encontrada"))</f>
        <v/>
      </c>
      <c r="G37" s="106"/>
      <c r="H37" s="105"/>
      <c r="I37" s="105"/>
      <c r="J37" s="118"/>
      <c r="K37" s="106"/>
      <c r="L37" s="106"/>
      <c r="M37" s="99" t="str">
        <f aca="false">IF(OR(K37="",L37=""),"",IF((IF(L37="Alto",3,IF(L37="Médio",2,1))-IF(K37="Alto",3,IF(K37="Médio",2,1)))=2,"⚡ Quick win",IF((IF(L37="Alto",3,IF(L37="Médio",2,1))-IF(K37="Alto",3,IF(K37="Médio",2,1)))=1,"🚀 Alto retorno",IF(AND(L37="Alto",K37="Alto"),"🎯 Estratégica",IF((IF(L37="Alto",3,IF(L37="Médio",2,1))-IF(K37="Alto",3,IF(K37="Médio",2,1)))=0,"⚖ Equilibrada","⏳ Baixo retorno")))))</f>
        <v/>
      </c>
      <c r="N37" s="105"/>
      <c r="O37" s="105"/>
      <c r="P37" s="106"/>
      <c r="Q37" s="105"/>
      <c r="R37" s="107"/>
      <c r="S37" s="105"/>
      <c r="T37" s="107"/>
      <c r="U37" s="105"/>
    </row>
    <row r="38" customFormat="false" ht="15" hidden="false" customHeight="false" outlineLevel="0" collapsed="false">
      <c r="A38" s="101" t="s">
        <v>1363</v>
      </c>
      <c r="B38" s="102"/>
      <c r="C38" s="102"/>
      <c r="D38" s="102"/>
      <c r="E38" s="102"/>
      <c r="F38" s="99" t="str">
        <f aca="false">IF(E38="","",IFERROR(INDEX('Fontes e Parcerias'!$C$5:$C$500,MATCH(IFERROR(LEFT(E38,FIND(" · ",E38)-1),E38),'Fontes e Parcerias'!$A$5:$A$500,0)),"Fonte não encontrada"))</f>
        <v/>
      </c>
      <c r="G38" s="103"/>
      <c r="H38" s="102"/>
      <c r="I38" s="102"/>
      <c r="J38" s="117"/>
      <c r="K38" s="103"/>
      <c r="L38" s="103"/>
      <c r="M38" s="99" t="str">
        <f aca="false">IF(OR(K38="",L38=""),"",IF((IF(L38="Alto",3,IF(L38="Médio",2,1))-IF(K38="Alto",3,IF(K38="Médio",2,1)))=2,"⚡ Quick win",IF((IF(L38="Alto",3,IF(L38="Médio",2,1))-IF(K38="Alto",3,IF(K38="Médio",2,1)))=1,"🚀 Alto retorno",IF(AND(L38="Alto",K38="Alto"),"🎯 Estratégica",IF((IF(L38="Alto",3,IF(L38="Médio",2,1))-IF(K38="Alto",3,IF(K38="Médio",2,1)))=0,"⚖ Equilibrada","⏳ Baixo retorno")))))</f>
        <v/>
      </c>
      <c r="N38" s="102"/>
      <c r="O38" s="102"/>
      <c r="P38" s="103"/>
      <c r="Q38" s="102"/>
      <c r="R38" s="104"/>
      <c r="S38" s="102"/>
      <c r="T38" s="104"/>
      <c r="U38" s="102"/>
    </row>
    <row r="39" customFormat="false" ht="15" hidden="false" customHeight="false" outlineLevel="0" collapsed="false">
      <c r="A39" s="93" t="s">
        <v>1364</v>
      </c>
      <c r="B39" s="105"/>
      <c r="C39" s="105"/>
      <c r="D39" s="105"/>
      <c r="E39" s="105"/>
      <c r="F39" s="99" t="str">
        <f aca="false">IF(E39="","",IFERROR(INDEX('Fontes e Parcerias'!$C$5:$C$500,MATCH(IFERROR(LEFT(E39,FIND(" · ",E39)-1),E39),'Fontes e Parcerias'!$A$5:$A$500,0)),"Fonte não encontrada"))</f>
        <v/>
      </c>
      <c r="G39" s="106"/>
      <c r="H39" s="105"/>
      <c r="I39" s="105"/>
      <c r="J39" s="118"/>
      <c r="K39" s="106"/>
      <c r="L39" s="106"/>
      <c r="M39" s="99" t="str">
        <f aca="false">IF(OR(K39="",L39=""),"",IF((IF(L39="Alto",3,IF(L39="Médio",2,1))-IF(K39="Alto",3,IF(K39="Médio",2,1)))=2,"⚡ Quick win",IF((IF(L39="Alto",3,IF(L39="Médio",2,1))-IF(K39="Alto",3,IF(K39="Médio",2,1)))=1,"🚀 Alto retorno",IF(AND(L39="Alto",K39="Alto"),"🎯 Estratégica",IF((IF(L39="Alto",3,IF(L39="Médio",2,1))-IF(K39="Alto",3,IF(K39="Médio",2,1)))=0,"⚖ Equilibrada","⏳ Baixo retorno")))))</f>
        <v/>
      </c>
      <c r="N39" s="105"/>
      <c r="O39" s="105"/>
      <c r="P39" s="106"/>
      <c r="Q39" s="105"/>
      <c r="R39" s="107"/>
      <c r="S39" s="105"/>
      <c r="T39" s="107"/>
      <c r="U39" s="105"/>
    </row>
    <row r="40" customFormat="false" ht="15" hidden="false" customHeight="false" outlineLevel="0" collapsed="false">
      <c r="A40" s="101" t="s">
        <v>1365</v>
      </c>
      <c r="B40" s="102"/>
      <c r="C40" s="102"/>
      <c r="D40" s="102"/>
      <c r="E40" s="102"/>
      <c r="F40" s="99" t="str">
        <f aca="false">IF(E40="","",IFERROR(INDEX('Fontes e Parcerias'!$C$5:$C$500,MATCH(IFERROR(LEFT(E40,FIND(" · ",E40)-1),E40),'Fontes e Parcerias'!$A$5:$A$500,0)),"Fonte não encontrada"))</f>
        <v/>
      </c>
      <c r="G40" s="103"/>
      <c r="H40" s="102"/>
      <c r="I40" s="102"/>
      <c r="J40" s="117"/>
      <c r="K40" s="103"/>
      <c r="L40" s="103"/>
      <c r="M40" s="99" t="str">
        <f aca="false">IF(OR(K40="",L40=""),"",IF((IF(L40="Alto",3,IF(L40="Médio",2,1))-IF(K40="Alto",3,IF(K40="Médio",2,1)))=2,"⚡ Quick win",IF((IF(L40="Alto",3,IF(L40="Médio",2,1))-IF(K40="Alto",3,IF(K40="Médio",2,1)))=1,"🚀 Alto retorno",IF(AND(L40="Alto",K40="Alto"),"🎯 Estratégica",IF((IF(L40="Alto",3,IF(L40="Médio",2,1))-IF(K40="Alto",3,IF(K40="Médio",2,1)))=0,"⚖ Equilibrada","⏳ Baixo retorno")))))</f>
        <v/>
      </c>
      <c r="N40" s="102"/>
      <c r="O40" s="102"/>
      <c r="P40" s="103"/>
      <c r="Q40" s="102"/>
      <c r="R40" s="104"/>
      <c r="S40" s="102"/>
      <c r="T40" s="104"/>
      <c r="U40" s="102"/>
    </row>
    <row r="41" customFormat="false" ht="15" hidden="false" customHeight="false" outlineLevel="0" collapsed="false">
      <c r="A41" s="93" t="s">
        <v>1366</v>
      </c>
      <c r="B41" s="105"/>
      <c r="C41" s="105"/>
      <c r="D41" s="105"/>
      <c r="E41" s="105"/>
      <c r="F41" s="99" t="str">
        <f aca="false">IF(E41="","",IFERROR(INDEX('Fontes e Parcerias'!$C$5:$C$500,MATCH(IFERROR(LEFT(E41,FIND(" · ",E41)-1),E41),'Fontes e Parcerias'!$A$5:$A$500,0)),"Fonte não encontrada"))</f>
        <v/>
      </c>
      <c r="G41" s="106"/>
      <c r="H41" s="105"/>
      <c r="I41" s="105"/>
      <c r="J41" s="118"/>
      <c r="K41" s="106"/>
      <c r="L41" s="106"/>
      <c r="M41" s="99" t="str">
        <f aca="false">IF(OR(K41="",L41=""),"",IF((IF(L41="Alto",3,IF(L41="Médio",2,1))-IF(K41="Alto",3,IF(K41="Médio",2,1)))=2,"⚡ Quick win",IF((IF(L41="Alto",3,IF(L41="Médio",2,1))-IF(K41="Alto",3,IF(K41="Médio",2,1)))=1,"🚀 Alto retorno",IF(AND(L41="Alto",K41="Alto"),"🎯 Estratégica",IF((IF(L41="Alto",3,IF(L41="Médio",2,1))-IF(K41="Alto",3,IF(K41="Médio",2,1)))=0,"⚖ Equilibrada","⏳ Baixo retorno")))))</f>
        <v/>
      </c>
      <c r="N41" s="105"/>
      <c r="O41" s="105"/>
      <c r="P41" s="106"/>
      <c r="Q41" s="105"/>
      <c r="R41" s="107"/>
      <c r="S41" s="105"/>
      <c r="T41" s="107"/>
      <c r="U41" s="105"/>
    </row>
    <row r="42" customFormat="false" ht="15" hidden="false" customHeight="false" outlineLevel="0" collapsed="false">
      <c r="A42" s="101" t="s">
        <v>1367</v>
      </c>
      <c r="B42" s="102"/>
      <c r="C42" s="102"/>
      <c r="D42" s="102"/>
      <c r="E42" s="102"/>
      <c r="F42" s="99" t="str">
        <f aca="false">IF(E42="","",IFERROR(INDEX('Fontes e Parcerias'!$C$5:$C$500,MATCH(IFERROR(LEFT(E42,FIND(" · ",E42)-1),E42),'Fontes e Parcerias'!$A$5:$A$500,0)),"Fonte não encontrada"))</f>
        <v/>
      </c>
      <c r="G42" s="103"/>
      <c r="H42" s="102"/>
      <c r="I42" s="102"/>
      <c r="J42" s="117"/>
      <c r="K42" s="103"/>
      <c r="L42" s="103"/>
      <c r="M42" s="99" t="str">
        <f aca="false">IF(OR(K42="",L42=""),"",IF((IF(L42="Alto",3,IF(L42="Médio",2,1))-IF(K42="Alto",3,IF(K42="Médio",2,1)))=2,"⚡ Quick win",IF((IF(L42="Alto",3,IF(L42="Médio",2,1))-IF(K42="Alto",3,IF(K42="Médio",2,1)))=1,"🚀 Alto retorno",IF(AND(L42="Alto",K42="Alto"),"🎯 Estratégica",IF((IF(L42="Alto",3,IF(L42="Médio",2,1))-IF(K42="Alto",3,IF(K42="Médio",2,1)))=0,"⚖ Equilibrada","⏳ Baixo retorno")))))</f>
        <v/>
      </c>
      <c r="N42" s="102"/>
      <c r="O42" s="102"/>
      <c r="P42" s="103"/>
      <c r="Q42" s="102"/>
      <c r="R42" s="104"/>
      <c r="S42" s="102"/>
      <c r="T42" s="104"/>
      <c r="U42" s="102"/>
    </row>
    <row r="43" customFormat="false" ht="15" hidden="false" customHeight="false" outlineLevel="0" collapsed="false">
      <c r="A43" s="93" t="s">
        <v>1368</v>
      </c>
      <c r="B43" s="105"/>
      <c r="C43" s="105"/>
      <c r="D43" s="105"/>
      <c r="E43" s="105"/>
      <c r="F43" s="99" t="str">
        <f aca="false">IF(E43="","",IFERROR(INDEX('Fontes e Parcerias'!$C$5:$C$500,MATCH(IFERROR(LEFT(E43,FIND(" · ",E43)-1),E43),'Fontes e Parcerias'!$A$5:$A$500,0)),"Fonte não encontrada"))</f>
        <v/>
      </c>
      <c r="G43" s="106"/>
      <c r="H43" s="105"/>
      <c r="I43" s="105"/>
      <c r="J43" s="118"/>
      <c r="K43" s="106"/>
      <c r="L43" s="106"/>
      <c r="M43" s="99" t="str">
        <f aca="false">IF(OR(K43="",L43=""),"",IF((IF(L43="Alto",3,IF(L43="Médio",2,1))-IF(K43="Alto",3,IF(K43="Médio",2,1)))=2,"⚡ Quick win",IF((IF(L43="Alto",3,IF(L43="Médio",2,1))-IF(K43="Alto",3,IF(K43="Médio",2,1)))=1,"🚀 Alto retorno",IF(AND(L43="Alto",K43="Alto"),"🎯 Estratégica",IF((IF(L43="Alto",3,IF(L43="Médio",2,1))-IF(K43="Alto",3,IF(K43="Médio",2,1)))=0,"⚖ Equilibrada","⏳ Baixo retorno")))))</f>
        <v/>
      </c>
      <c r="N43" s="105"/>
      <c r="O43" s="105"/>
      <c r="P43" s="106"/>
      <c r="Q43" s="105"/>
      <c r="R43" s="107"/>
      <c r="S43" s="105"/>
      <c r="T43" s="107"/>
      <c r="U43" s="105"/>
    </row>
    <row r="44" customFormat="false" ht="15" hidden="false" customHeight="false" outlineLevel="0" collapsed="false">
      <c r="A44" s="101" t="s">
        <v>1369</v>
      </c>
      <c r="B44" s="102"/>
      <c r="C44" s="102"/>
      <c r="D44" s="102"/>
      <c r="E44" s="102"/>
      <c r="F44" s="99" t="str">
        <f aca="false">IF(E44="","",IFERROR(INDEX('Fontes e Parcerias'!$C$5:$C$500,MATCH(IFERROR(LEFT(E44,FIND(" · ",E44)-1),E44),'Fontes e Parcerias'!$A$5:$A$500,0)),"Fonte não encontrada"))</f>
        <v/>
      </c>
      <c r="G44" s="103"/>
      <c r="H44" s="102"/>
      <c r="I44" s="102"/>
      <c r="J44" s="117"/>
      <c r="K44" s="103"/>
      <c r="L44" s="103"/>
      <c r="M44" s="99" t="str">
        <f aca="false">IF(OR(K44="",L44=""),"",IF((IF(L44="Alto",3,IF(L44="Médio",2,1))-IF(K44="Alto",3,IF(K44="Médio",2,1)))=2,"⚡ Quick win",IF((IF(L44="Alto",3,IF(L44="Médio",2,1))-IF(K44="Alto",3,IF(K44="Médio",2,1)))=1,"🚀 Alto retorno",IF(AND(L44="Alto",K44="Alto"),"🎯 Estratégica",IF((IF(L44="Alto",3,IF(L44="Médio",2,1))-IF(K44="Alto",3,IF(K44="Médio",2,1)))=0,"⚖ Equilibrada","⏳ Baixo retorno")))))</f>
        <v/>
      </c>
      <c r="N44" s="102"/>
      <c r="O44" s="102"/>
      <c r="P44" s="103"/>
      <c r="Q44" s="102"/>
      <c r="R44" s="104"/>
      <c r="S44" s="102"/>
      <c r="T44" s="104"/>
      <c r="U44" s="102"/>
    </row>
    <row r="45" customFormat="false" ht="15" hidden="false" customHeight="false" outlineLevel="0" collapsed="false">
      <c r="A45" s="93" t="s">
        <v>1370</v>
      </c>
      <c r="B45" s="105"/>
      <c r="C45" s="105"/>
      <c r="D45" s="105"/>
      <c r="E45" s="105"/>
      <c r="F45" s="99" t="str">
        <f aca="false">IF(E45="","",IFERROR(INDEX('Fontes e Parcerias'!$C$5:$C$500,MATCH(IFERROR(LEFT(E45,FIND(" · ",E45)-1),E45),'Fontes e Parcerias'!$A$5:$A$500,0)),"Fonte não encontrada"))</f>
        <v/>
      </c>
      <c r="G45" s="106"/>
      <c r="H45" s="105"/>
      <c r="I45" s="105"/>
      <c r="J45" s="118"/>
      <c r="K45" s="106"/>
      <c r="L45" s="106"/>
      <c r="M45" s="99" t="str">
        <f aca="false">IF(OR(K45="",L45=""),"",IF((IF(L45="Alto",3,IF(L45="Médio",2,1))-IF(K45="Alto",3,IF(K45="Médio",2,1)))=2,"⚡ Quick win",IF((IF(L45="Alto",3,IF(L45="Médio",2,1))-IF(K45="Alto",3,IF(K45="Médio",2,1)))=1,"🚀 Alto retorno",IF(AND(L45="Alto",K45="Alto"),"🎯 Estratégica",IF((IF(L45="Alto",3,IF(L45="Médio",2,1))-IF(K45="Alto",3,IF(K45="Médio",2,1)))=0,"⚖ Equilibrada","⏳ Baixo retorno")))))</f>
        <v/>
      </c>
      <c r="N45" s="105"/>
      <c r="O45" s="105"/>
      <c r="P45" s="106"/>
      <c r="Q45" s="105"/>
      <c r="R45" s="107"/>
      <c r="S45" s="105"/>
      <c r="T45" s="107"/>
      <c r="U45" s="105"/>
    </row>
    <row r="46" customFormat="false" ht="15" hidden="false" customHeight="false" outlineLevel="0" collapsed="false">
      <c r="A46" s="101" t="s">
        <v>1371</v>
      </c>
      <c r="B46" s="102"/>
      <c r="C46" s="102"/>
      <c r="D46" s="102"/>
      <c r="E46" s="102"/>
      <c r="F46" s="99" t="str">
        <f aca="false">IF(E46="","",IFERROR(INDEX('Fontes e Parcerias'!$C$5:$C$500,MATCH(IFERROR(LEFT(E46,FIND(" · ",E46)-1),E46),'Fontes e Parcerias'!$A$5:$A$500,0)),"Fonte não encontrada"))</f>
        <v/>
      </c>
      <c r="G46" s="103"/>
      <c r="H46" s="102"/>
      <c r="I46" s="102"/>
      <c r="J46" s="117"/>
      <c r="K46" s="103"/>
      <c r="L46" s="103"/>
      <c r="M46" s="99" t="str">
        <f aca="false">IF(OR(K46="",L46=""),"",IF((IF(L46="Alto",3,IF(L46="Médio",2,1))-IF(K46="Alto",3,IF(K46="Médio",2,1)))=2,"⚡ Quick win",IF((IF(L46="Alto",3,IF(L46="Médio",2,1))-IF(K46="Alto",3,IF(K46="Médio",2,1)))=1,"🚀 Alto retorno",IF(AND(L46="Alto",K46="Alto"),"🎯 Estratégica",IF((IF(L46="Alto",3,IF(L46="Médio",2,1))-IF(K46="Alto",3,IF(K46="Médio",2,1)))=0,"⚖ Equilibrada","⏳ Baixo retorno")))))</f>
        <v/>
      </c>
      <c r="N46" s="102"/>
      <c r="O46" s="102"/>
      <c r="P46" s="103"/>
      <c r="Q46" s="102"/>
      <c r="R46" s="104"/>
      <c r="S46" s="102"/>
      <c r="T46" s="104"/>
      <c r="U46" s="102"/>
    </row>
    <row r="47" customFormat="false" ht="15" hidden="false" customHeight="false" outlineLevel="0" collapsed="false">
      <c r="A47" s="93" t="s">
        <v>1372</v>
      </c>
      <c r="B47" s="105"/>
      <c r="C47" s="105"/>
      <c r="D47" s="105"/>
      <c r="E47" s="105"/>
      <c r="F47" s="99" t="str">
        <f aca="false">IF(E47="","",IFERROR(INDEX('Fontes e Parcerias'!$C$5:$C$500,MATCH(IFERROR(LEFT(E47,FIND(" · ",E47)-1),E47),'Fontes e Parcerias'!$A$5:$A$500,0)),"Fonte não encontrada"))</f>
        <v/>
      </c>
      <c r="G47" s="106"/>
      <c r="H47" s="105"/>
      <c r="I47" s="105"/>
      <c r="J47" s="118"/>
      <c r="K47" s="106"/>
      <c r="L47" s="106"/>
      <c r="M47" s="99" t="str">
        <f aca="false">IF(OR(K47="",L47=""),"",IF((IF(L47="Alto",3,IF(L47="Médio",2,1))-IF(K47="Alto",3,IF(K47="Médio",2,1)))=2,"⚡ Quick win",IF((IF(L47="Alto",3,IF(L47="Médio",2,1))-IF(K47="Alto",3,IF(K47="Médio",2,1)))=1,"🚀 Alto retorno",IF(AND(L47="Alto",K47="Alto"),"🎯 Estratégica",IF((IF(L47="Alto",3,IF(L47="Médio",2,1))-IF(K47="Alto",3,IF(K47="Médio",2,1)))=0,"⚖ Equilibrada","⏳ Baixo retorno")))))</f>
        <v/>
      </c>
      <c r="N47" s="105"/>
      <c r="O47" s="105"/>
      <c r="P47" s="106"/>
      <c r="Q47" s="105"/>
      <c r="R47" s="107"/>
      <c r="S47" s="105"/>
      <c r="T47" s="107"/>
      <c r="U47" s="105"/>
    </row>
    <row r="48" customFormat="false" ht="15" hidden="false" customHeight="false" outlineLevel="0" collapsed="false">
      <c r="A48" s="101" t="s">
        <v>1373</v>
      </c>
      <c r="B48" s="102"/>
      <c r="C48" s="102"/>
      <c r="D48" s="102"/>
      <c r="E48" s="102"/>
      <c r="F48" s="99" t="str">
        <f aca="false">IF(E48="","",IFERROR(INDEX('Fontes e Parcerias'!$C$5:$C$500,MATCH(IFERROR(LEFT(E48,FIND(" · ",E48)-1),E48),'Fontes e Parcerias'!$A$5:$A$500,0)),"Fonte não encontrada"))</f>
        <v/>
      </c>
      <c r="G48" s="103"/>
      <c r="H48" s="102"/>
      <c r="I48" s="102"/>
      <c r="J48" s="117"/>
      <c r="K48" s="103"/>
      <c r="L48" s="103"/>
      <c r="M48" s="99" t="str">
        <f aca="false">IF(OR(K48="",L48=""),"",IF((IF(L48="Alto",3,IF(L48="Médio",2,1))-IF(K48="Alto",3,IF(K48="Médio",2,1)))=2,"⚡ Quick win",IF((IF(L48="Alto",3,IF(L48="Médio",2,1))-IF(K48="Alto",3,IF(K48="Médio",2,1)))=1,"🚀 Alto retorno",IF(AND(L48="Alto",K48="Alto"),"🎯 Estratégica",IF((IF(L48="Alto",3,IF(L48="Médio",2,1))-IF(K48="Alto",3,IF(K48="Médio",2,1)))=0,"⚖ Equilibrada","⏳ Baixo retorno")))))</f>
        <v/>
      </c>
      <c r="N48" s="102"/>
      <c r="O48" s="102"/>
      <c r="P48" s="103"/>
      <c r="Q48" s="102"/>
      <c r="R48" s="104"/>
      <c r="S48" s="102"/>
      <c r="T48" s="104"/>
      <c r="U48" s="102"/>
    </row>
    <row r="49" customFormat="false" ht="15" hidden="false" customHeight="false" outlineLevel="0" collapsed="false">
      <c r="A49" s="93" t="s">
        <v>1374</v>
      </c>
      <c r="B49" s="105"/>
      <c r="C49" s="105"/>
      <c r="D49" s="105"/>
      <c r="E49" s="105"/>
      <c r="F49" s="99" t="str">
        <f aca="false">IF(E49="","",IFERROR(INDEX('Fontes e Parcerias'!$C$5:$C$500,MATCH(IFERROR(LEFT(E49,FIND(" · ",E49)-1),E49),'Fontes e Parcerias'!$A$5:$A$500,0)),"Fonte não encontrada"))</f>
        <v/>
      </c>
      <c r="G49" s="106"/>
      <c r="H49" s="105"/>
      <c r="I49" s="105"/>
      <c r="J49" s="118"/>
      <c r="K49" s="106"/>
      <c r="L49" s="106"/>
      <c r="M49" s="99" t="str">
        <f aca="false">IF(OR(K49="",L49=""),"",IF((IF(L49="Alto",3,IF(L49="Médio",2,1))-IF(K49="Alto",3,IF(K49="Médio",2,1)))=2,"⚡ Quick win",IF((IF(L49="Alto",3,IF(L49="Médio",2,1))-IF(K49="Alto",3,IF(K49="Médio",2,1)))=1,"🚀 Alto retorno",IF(AND(L49="Alto",K49="Alto"),"🎯 Estratégica",IF((IF(L49="Alto",3,IF(L49="Médio",2,1))-IF(K49="Alto",3,IF(K49="Médio",2,1)))=0,"⚖ Equilibrada","⏳ Baixo retorno")))))</f>
        <v/>
      </c>
      <c r="N49" s="105"/>
      <c r="O49" s="105"/>
      <c r="P49" s="106"/>
      <c r="Q49" s="105"/>
      <c r="R49" s="107"/>
      <c r="S49" s="105"/>
      <c r="T49" s="107"/>
      <c r="U49" s="105"/>
    </row>
    <row r="50" customFormat="false" ht="15" hidden="false" customHeight="false" outlineLevel="0" collapsed="false">
      <c r="A50" s="101" t="s">
        <v>1375</v>
      </c>
      <c r="B50" s="102"/>
      <c r="C50" s="102"/>
      <c r="D50" s="102"/>
      <c r="E50" s="102"/>
      <c r="F50" s="99" t="str">
        <f aca="false">IF(E50="","",IFERROR(INDEX('Fontes e Parcerias'!$C$5:$C$500,MATCH(IFERROR(LEFT(E50,FIND(" · ",E50)-1),E50),'Fontes e Parcerias'!$A$5:$A$500,0)),"Fonte não encontrada"))</f>
        <v/>
      </c>
      <c r="G50" s="103"/>
      <c r="H50" s="102"/>
      <c r="I50" s="102"/>
      <c r="J50" s="117"/>
      <c r="K50" s="103"/>
      <c r="L50" s="103"/>
      <c r="M50" s="99" t="str">
        <f aca="false">IF(OR(K50="",L50=""),"",IF((IF(L50="Alto",3,IF(L50="Médio",2,1))-IF(K50="Alto",3,IF(K50="Médio",2,1)))=2,"⚡ Quick win",IF((IF(L50="Alto",3,IF(L50="Médio",2,1))-IF(K50="Alto",3,IF(K50="Médio",2,1)))=1,"🚀 Alto retorno",IF(AND(L50="Alto",K50="Alto"),"🎯 Estratégica",IF((IF(L50="Alto",3,IF(L50="Médio",2,1))-IF(K50="Alto",3,IF(K50="Médio",2,1)))=0,"⚖ Equilibrada","⏳ Baixo retorno")))))</f>
        <v/>
      </c>
      <c r="N50" s="102"/>
      <c r="O50" s="102"/>
      <c r="P50" s="103"/>
      <c r="Q50" s="102"/>
      <c r="R50" s="104"/>
      <c r="S50" s="102"/>
      <c r="T50" s="104"/>
      <c r="U50" s="102"/>
    </row>
    <row r="51" customFormat="false" ht="15" hidden="false" customHeight="false" outlineLevel="0" collapsed="false">
      <c r="A51" s="93" t="s">
        <v>1376</v>
      </c>
      <c r="B51" s="105"/>
      <c r="C51" s="105"/>
      <c r="D51" s="105"/>
      <c r="E51" s="105"/>
      <c r="F51" s="99" t="str">
        <f aca="false">IF(E51="","",IFERROR(INDEX('Fontes e Parcerias'!$C$5:$C$500,MATCH(IFERROR(LEFT(E51,FIND(" · ",E51)-1),E51),'Fontes e Parcerias'!$A$5:$A$500,0)),"Fonte não encontrada"))</f>
        <v/>
      </c>
      <c r="G51" s="106"/>
      <c r="H51" s="105"/>
      <c r="I51" s="105"/>
      <c r="J51" s="118"/>
      <c r="K51" s="106"/>
      <c r="L51" s="106"/>
      <c r="M51" s="99" t="str">
        <f aca="false">IF(OR(K51="",L51=""),"",IF((IF(L51="Alto",3,IF(L51="Médio",2,1))-IF(K51="Alto",3,IF(K51="Médio",2,1)))=2,"⚡ Quick win",IF((IF(L51="Alto",3,IF(L51="Médio",2,1))-IF(K51="Alto",3,IF(K51="Médio",2,1)))=1,"🚀 Alto retorno",IF(AND(L51="Alto",K51="Alto"),"🎯 Estratégica",IF((IF(L51="Alto",3,IF(L51="Médio",2,1))-IF(K51="Alto",3,IF(K51="Médio",2,1)))=0,"⚖ Equilibrada","⏳ Baixo retorno")))))</f>
        <v/>
      </c>
      <c r="N51" s="105"/>
      <c r="O51" s="105"/>
      <c r="P51" s="106"/>
      <c r="Q51" s="105"/>
      <c r="R51" s="107"/>
      <c r="S51" s="105"/>
      <c r="T51" s="107"/>
      <c r="U51" s="105"/>
    </row>
    <row r="52" customFormat="false" ht="15" hidden="false" customHeight="false" outlineLevel="0" collapsed="false">
      <c r="A52" s="101" t="s">
        <v>1377</v>
      </c>
      <c r="B52" s="102"/>
      <c r="C52" s="102"/>
      <c r="D52" s="102"/>
      <c r="E52" s="102"/>
      <c r="F52" s="99" t="str">
        <f aca="false">IF(E52="","",IFERROR(INDEX('Fontes e Parcerias'!$C$5:$C$500,MATCH(IFERROR(LEFT(E52,FIND(" · ",E52)-1),E52),'Fontes e Parcerias'!$A$5:$A$500,0)),"Fonte não encontrada"))</f>
        <v/>
      </c>
      <c r="G52" s="103"/>
      <c r="H52" s="102"/>
      <c r="I52" s="102"/>
      <c r="J52" s="117"/>
      <c r="K52" s="103"/>
      <c r="L52" s="103"/>
      <c r="M52" s="99" t="str">
        <f aca="false">IF(OR(K52="",L52=""),"",IF((IF(L52="Alto",3,IF(L52="Médio",2,1))-IF(K52="Alto",3,IF(K52="Médio",2,1)))=2,"⚡ Quick win",IF((IF(L52="Alto",3,IF(L52="Médio",2,1))-IF(K52="Alto",3,IF(K52="Médio",2,1)))=1,"🚀 Alto retorno",IF(AND(L52="Alto",K52="Alto"),"🎯 Estratégica",IF((IF(L52="Alto",3,IF(L52="Médio",2,1))-IF(K52="Alto",3,IF(K52="Médio",2,1)))=0,"⚖ Equilibrada","⏳ Baixo retorno")))))</f>
        <v/>
      </c>
      <c r="N52" s="102"/>
      <c r="O52" s="102"/>
      <c r="P52" s="103"/>
      <c r="Q52" s="102"/>
      <c r="R52" s="104"/>
      <c r="S52" s="102"/>
      <c r="T52" s="104"/>
      <c r="U52" s="102"/>
    </row>
    <row r="53" customFormat="false" ht="15" hidden="false" customHeight="false" outlineLevel="0" collapsed="false">
      <c r="A53" s="93" t="s">
        <v>1378</v>
      </c>
      <c r="B53" s="105"/>
      <c r="C53" s="105"/>
      <c r="D53" s="105"/>
      <c r="E53" s="105"/>
      <c r="F53" s="99" t="str">
        <f aca="false">IF(E53="","",IFERROR(INDEX('Fontes e Parcerias'!$C$5:$C$500,MATCH(IFERROR(LEFT(E53,FIND(" · ",E53)-1),E53),'Fontes e Parcerias'!$A$5:$A$500,0)),"Fonte não encontrada"))</f>
        <v/>
      </c>
      <c r="G53" s="106"/>
      <c r="H53" s="105"/>
      <c r="I53" s="105"/>
      <c r="J53" s="118"/>
      <c r="K53" s="106"/>
      <c r="L53" s="106"/>
      <c r="M53" s="99" t="str">
        <f aca="false">IF(OR(K53="",L53=""),"",IF((IF(L53="Alto",3,IF(L53="Médio",2,1))-IF(K53="Alto",3,IF(K53="Médio",2,1)))=2,"⚡ Quick win",IF((IF(L53="Alto",3,IF(L53="Médio",2,1))-IF(K53="Alto",3,IF(K53="Médio",2,1)))=1,"🚀 Alto retorno",IF(AND(L53="Alto",K53="Alto"),"🎯 Estratégica",IF((IF(L53="Alto",3,IF(L53="Médio",2,1))-IF(K53="Alto",3,IF(K53="Médio",2,1)))=0,"⚖ Equilibrada","⏳ Baixo retorno")))))</f>
        <v/>
      </c>
      <c r="N53" s="105"/>
      <c r="O53" s="105"/>
      <c r="P53" s="106"/>
      <c r="Q53" s="105"/>
      <c r="R53" s="107"/>
      <c r="S53" s="105"/>
      <c r="T53" s="107"/>
      <c r="U53" s="105"/>
    </row>
    <row r="54" customFormat="false" ht="15" hidden="false" customHeight="false" outlineLevel="0" collapsed="false">
      <c r="A54" s="101" t="s">
        <v>1379</v>
      </c>
      <c r="B54" s="102"/>
      <c r="C54" s="102"/>
      <c r="D54" s="102"/>
      <c r="E54" s="102"/>
      <c r="F54" s="99" t="str">
        <f aca="false">IF(E54="","",IFERROR(INDEX('Fontes e Parcerias'!$C$5:$C$500,MATCH(IFERROR(LEFT(E54,FIND(" · ",E54)-1),E54),'Fontes e Parcerias'!$A$5:$A$500,0)),"Fonte não encontrada"))</f>
        <v/>
      </c>
      <c r="G54" s="103"/>
      <c r="H54" s="102"/>
      <c r="I54" s="102"/>
      <c r="J54" s="117"/>
      <c r="K54" s="103"/>
      <c r="L54" s="103"/>
      <c r="M54" s="99" t="str">
        <f aca="false">IF(OR(K54="",L54=""),"",IF((IF(L54="Alto",3,IF(L54="Médio",2,1))-IF(K54="Alto",3,IF(K54="Médio",2,1)))=2,"⚡ Quick win",IF((IF(L54="Alto",3,IF(L54="Médio",2,1))-IF(K54="Alto",3,IF(K54="Médio",2,1)))=1,"🚀 Alto retorno",IF(AND(L54="Alto",K54="Alto"),"🎯 Estratégica",IF((IF(L54="Alto",3,IF(L54="Médio",2,1))-IF(K54="Alto",3,IF(K54="Médio",2,1)))=0,"⚖ Equilibrada","⏳ Baixo retorno")))))</f>
        <v/>
      </c>
      <c r="N54" s="102"/>
      <c r="O54" s="102"/>
      <c r="P54" s="103"/>
      <c r="Q54" s="102"/>
      <c r="R54" s="104"/>
      <c r="S54" s="102"/>
      <c r="T54" s="104"/>
      <c r="U54" s="102"/>
    </row>
    <row r="55" customFormat="false" ht="15" hidden="false" customHeight="false" outlineLevel="0" collapsed="false">
      <c r="A55" s="93" t="s">
        <v>1380</v>
      </c>
      <c r="B55" s="105"/>
      <c r="C55" s="105"/>
      <c r="D55" s="105"/>
      <c r="E55" s="105"/>
      <c r="F55" s="99" t="str">
        <f aca="false">IF(E55="","",IFERROR(INDEX('Fontes e Parcerias'!$C$5:$C$500,MATCH(IFERROR(LEFT(E55,FIND(" · ",E55)-1),E55),'Fontes e Parcerias'!$A$5:$A$500,0)),"Fonte não encontrada"))</f>
        <v/>
      </c>
      <c r="G55" s="106"/>
      <c r="H55" s="105"/>
      <c r="I55" s="105"/>
      <c r="J55" s="118"/>
      <c r="K55" s="106"/>
      <c r="L55" s="106"/>
      <c r="M55" s="99" t="str">
        <f aca="false">IF(OR(K55="",L55=""),"",IF((IF(L55="Alto",3,IF(L55="Médio",2,1))-IF(K55="Alto",3,IF(K55="Médio",2,1)))=2,"⚡ Quick win",IF((IF(L55="Alto",3,IF(L55="Médio",2,1))-IF(K55="Alto",3,IF(K55="Médio",2,1)))=1,"🚀 Alto retorno",IF(AND(L55="Alto",K55="Alto"),"🎯 Estratégica",IF((IF(L55="Alto",3,IF(L55="Médio",2,1))-IF(K55="Alto",3,IF(K55="Médio",2,1)))=0,"⚖ Equilibrada","⏳ Baixo retorno")))))</f>
        <v/>
      </c>
      <c r="N55" s="105"/>
      <c r="O55" s="105"/>
      <c r="P55" s="106"/>
      <c r="Q55" s="105"/>
      <c r="R55" s="107"/>
      <c r="S55" s="105"/>
      <c r="T55" s="107"/>
      <c r="U55" s="105"/>
    </row>
    <row r="56" customFormat="false" ht="15" hidden="false" customHeight="false" outlineLevel="0" collapsed="false">
      <c r="A56" s="101" t="s">
        <v>1381</v>
      </c>
      <c r="B56" s="102"/>
      <c r="C56" s="102"/>
      <c r="D56" s="102"/>
      <c r="E56" s="102"/>
      <c r="F56" s="99" t="str">
        <f aca="false">IF(E56="","",IFERROR(INDEX('Fontes e Parcerias'!$C$5:$C$500,MATCH(IFERROR(LEFT(E56,FIND(" · ",E56)-1),E56),'Fontes e Parcerias'!$A$5:$A$500,0)),"Fonte não encontrada"))</f>
        <v/>
      </c>
      <c r="G56" s="103"/>
      <c r="H56" s="102"/>
      <c r="I56" s="102"/>
      <c r="J56" s="117"/>
      <c r="K56" s="103"/>
      <c r="L56" s="103"/>
      <c r="M56" s="99" t="str">
        <f aca="false">IF(OR(K56="",L56=""),"",IF((IF(L56="Alto",3,IF(L56="Médio",2,1))-IF(K56="Alto",3,IF(K56="Médio",2,1)))=2,"⚡ Quick win",IF((IF(L56="Alto",3,IF(L56="Médio",2,1))-IF(K56="Alto",3,IF(K56="Médio",2,1)))=1,"🚀 Alto retorno",IF(AND(L56="Alto",K56="Alto"),"🎯 Estratégica",IF((IF(L56="Alto",3,IF(L56="Médio",2,1))-IF(K56="Alto",3,IF(K56="Médio",2,1)))=0,"⚖ Equilibrada","⏳ Baixo retorno")))))</f>
        <v/>
      </c>
      <c r="N56" s="102"/>
      <c r="O56" s="102"/>
      <c r="P56" s="103"/>
      <c r="Q56" s="102"/>
      <c r="R56" s="104"/>
      <c r="S56" s="102"/>
      <c r="T56" s="104"/>
      <c r="U56" s="102"/>
    </row>
    <row r="57" customFormat="false" ht="15" hidden="false" customHeight="false" outlineLevel="0" collapsed="false">
      <c r="A57" s="93" t="s">
        <v>1382</v>
      </c>
      <c r="B57" s="105"/>
      <c r="C57" s="105"/>
      <c r="D57" s="105"/>
      <c r="E57" s="105"/>
      <c r="F57" s="99" t="str">
        <f aca="false">IF(E57="","",IFERROR(INDEX('Fontes e Parcerias'!$C$5:$C$500,MATCH(IFERROR(LEFT(E57,FIND(" · ",E57)-1),E57),'Fontes e Parcerias'!$A$5:$A$500,0)),"Fonte não encontrada"))</f>
        <v/>
      </c>
      <c r="G57" s="106"/>
      <c r="H57" s="105"/>
      <c r="I57" s="105"/>
      <c r="J57" s="118"/>
      <c r="K57" s="106"/>
      <c r="L57" s="106"/>
      <c r="M57" s="99" t="str">
        <f aca="false">IF(OR(K57="",L57=""),"",IF((IF(L57="Alto",3,IF(L57="Médio",2,1))-IF(K57="Alto",3,IF(K57="Médio",2,1)))=2,"⚡ Quick win",IF((IF(L57="Alto",3,IF(L57="Médio",2,1))-IF(K57="Alto",3,IF(K57="Médio",2,1)))=1,"🚀 Alto retorno",IF(AND(L57="Alto",K57="Alto"),"🎯 Estratégica",IF((IF(L57="Alto",3,IF(L57="Médio",2,1))-IF(K57="Alto",3,IF(K57="Médio",2,1)))=0,"⚖ Equilibrada","⏳ Baixo retorno")))))</f>
        <v/>
      </c>
      <c r="N57" s="105"/>
      <c r="O57" s="105"/>
      <c r="P57" s="106"/>
      <c r="Q57" s="105"/>
      <c r="R57" s="107"/>
      <c r="S57" s="105"/>
      <c r="T57" s="107"/>
      <c r="U57" s="105"/>
    </row>
    <row r="58" customFormat="false" ht="15" hidden="false" customHeight="false" outlineLevel="0" collapsed="false">
      <c r="A58" s="101" t="s">
        <v>1383</v>
      </c>
      <c r="B58" s="102"/>
      <c r="C58" s="102"/>
      <c r="D58" s="102"/>
      <c r="E58" s="102"/>
      <c r="F58" s="99" t="str">
        <f aca="false">IF(E58="","",IFERROR(INDEX('Fontes e Parcerias'!$C$5:$C$500,MATCH(IFERROR(LEFT(E58,FIND(" · ",E58)-1),E58),'Fontes e Parcerias'!$A$5:$A$500,0)),"Fonte não encontrada"))</f>
        <v/>
      </c>
      <c r="G58" s="103"/>
      <c r="H58" s="102"/>
      <c r="I58" s="102"/>
      <c r="J58" s="117"/>
      <c r="K58" s="103"/>
      <c r="L58" s="103"/>
      <c r="M58" s="99" t="str">
        <f aca="false">IF(OR(K58="",L58=""),"",IF((IF(L58="Alto",3,IF(L58="Médio",2,1))-IF(K58="Alto",3,IF(K58="Médio",2,1)))=2,"⚡ Quick win",IF((IF(L58="Alto",3,IF(L58="Médio",2,1))-IF(K58="Alto",3,IF(K58="Médio",2,1)))=1,"🚀 Alto retorno",IF(AND(L58="Alto",K58="Alto"),"🎯 Estratégica",IF((IF(L58="Alto",3,IF(L58="Médio",2,1))-IF(K58="Alto",3,IF(K58="Médio",2,1)))=0,"⚖ Equilibrada","⏳ Baixo retorno")))))</f>
        <v/>
      </c>
      <c r="N58" s="102"/>
      <c r="O58" s="102"/>
      <c r="P58" s="103"/>
      <c r="Q58" s="102"/>
      <c r="R58" s="104"/>
      <c r="S58" s="102"/>
      <c r="T58" s="104"/>
      <c r="U58" s="102"/>
    </row>
    <row r="59" customFormat="false" ht="15" hidden="false" customHeight="false" outlineLevel="0" collapsed="false">
      <c r="A59" s="93" t="s">
        <v>1384</v>
      </c>
      <c r="B59" s="105"/>
      <c r="C59" s="105"/>
      <c r="D59" s="105"/>
      <c r="E59" s="105"/>
      <c r="F59" s="99" t="str">
        <f aca="false">IF(E59="","",IFERROR(INDEX('Fontes e Parcerias'!$C$5:$C$500,MATCH(IFERROR(LEFT(E59,FIND(" · ",E59)-1),E59),'Fontes e Parcerias'!$A$5:$A$500,0)),"Fonte não encontrada"))</f>
        <v/>
      </c>
      <c r="G59" s="106"/>
      <c r="H59" s="105"/>
      <c r="I59" s="105"/>
      <c r="J59" s="118"/>
      <c r="K59" s="106"/>
      <c r="L59" s="106"/>
      <c r="M59" s="99" t="str">
        <f aca="false">IF(OR(K59="",L59=""),"",IF((IF(L59="Alto",3,IF(L59="Médio",2,1))-IF(K59="Alto",3,IF(K59="Médio",2,1)))=2,"⚡ Quick win",IF((IF(L59="Alto",3,IF(L59="Médio",2,1))-IF(K59="Alto",3,IF(K59="Médio",2,1)))=1,"🚀 Alto retorno",IF(AND(L59="Alto",K59="Alto"),"🎯 Estratégica",IF((IF(L59="Alto",3,IF(L59="Médio",2,1))-IF(K59="Alto",3,IF(K59="Médio",2,1)))=0,"⚖ Equilibrada","⏳ Baixo retorno")))))</f>
        <v/>
      </c>
      <c r="N59" s="105"/>
      <c r="O59" s="105"/>
      <c r="P59" s="106"/>
      <c r="Q59" s="105"/>
      <c r="R59" s="107"/>
      <c r="S59" s="105"/>
      <c r="T59" s="107"/>
      <c r="U59" s="105"/>
    </row>
    <row r="60" customFormat="false" ht="15" hidden="false" customHeight="false" outlineLevel="0" collapsed="false">
      <c r="A60" s="101" t="s">
        <v>1385</v>
      </c>
      <c r="B60" s="102"/>
      <c r="C60" s="102"/>
      <c r="D60" s="102"/>
      <c r="E60" s="102"/>
      <c r="F60" s="99" t="str">
        <f aca="false">IF(E60="","",IFERROR(INDEX('Fontes e Parcerias'!$C$5:$C$500,MATCH(IFERROR(LEFT(E60,FIND(" · ",E60)-1),E60),'Fontes e Parcerias'!$A$5:$A$500,0)),"Fonte não encontrada"))</f>
        <v/>
      </c>
      <c r="G60" s="103"/>
      <c r="H60" s="102"/>
      <c r="I60" s="102"/>
      <c r="J60" s="117"/>
      <c r="K60" s="103"/>
      <c r="L60" s="103"/>
      <c r="M60" s="99" t="str">
        <f aca="false">IF(OR(K60="",L60=""),"",IF((IF(L60="Alto",3,IF(L60="Médio",2,1))-IF(K60="Alto",3,IF(K60="Médio",2,1)))=2,"⚡ Quick win",IF((IF(L60="Alto",3,IF(L60="Médio",2,1))-IF(K60="Alto",3,IF(K60="Médio",2,1)))=1,"🚀 Alto retorno",IF(AND(L60="Alto",K60="Alto"),"🎯 Estratégica",IF((IF(L60="Alto",3,IF(L60="Médio",2,1))-IF(K60="Alto",3,IF(K60="Médio",2,1)))=0,"⚖ Equilibrada","⏳ Baixo retorno")))))</f>
        <v/>
      </c>
      <c r="N60" s="102"/>
      <c r="O60" s="102"/>
      <c r="P60" s="103"/>
      <c r="Q60" s="102"/>
      <c r="R60" s="104"/>
      <c r="S60" s="102"/>
      <c r="T60" s="104"/>
      <c r="U60" s="102"/>
    </row>
    <row r="61" customFormat="false" ht="15" hidden="false" customHeight="false" outlineLevel="0" collapsed="false">
      <c r="A61" s="93" t="s">
        <v>1386</v>
      </c>
      <c r="B61" s="105"/>
      <c r="C61" s="105"/>
      <c r="D61" s="105"/>
      <c r="E61" s="105"/>
      <c r="F61" s="99" t="str">
        <f aca="false">IF(E61="","",IFERROR(INDEX('Fontes e Parcerias'!$C$5:$C$500,MATCH(IFERROR(LEFT(E61,FIND(" · ",E61)-1),E61),'Fontes e Parcerias'!$A$5:$A$500,0)),"Fonte não encontrada"))</f>
        <v/>
      </c>
      <c r="G61" s="106"/>
      <c r="H61" s="105"/>
      <c r="I61" s="105"/>
      <c r="J61" s="118"/>
      <c r="K61" s="106"/>
      <c r="L61" s="106"/>
      <c r="M61" s="99" t="str">
        <f aca="false">IF(OR(K61="",L61=""),"",IF((IF(L61="Alto",3,IF(L61="Médio",2,1))-IF(K61="Alto",3,IF(K61="Médio",2,1)))=2,"⚡ Quick win",IF((IF(L61="Alto",3,IF(L61="Médio",2,1))-IF(K61="Alto",3,IF(K61="Médio",2,1)))=1,"🚀 Alto retorno",IF(AND(L61="Alto",K61="Alto"),"🎯 Estratégica",IF((IF(L61="Alto",3,IF(L61="Médio",2,1))-IF(K61="Alto",3,IF(K61="Médio",2,1)))=0,"⚖ Equilibrada","⏳ Baixo retorno")))))</f>
        <v/>
      </c>
      <c r="N61" s="105"/>
      <c r="O61" s="105"/>
      <c r="P61" s="106"/>
      <c r="Q61" s="105"/>
      <c r="R61" s="107"/>
      <c r="S61" s="105"/>
      <c r="T61" s="107"/>
      <c r="U61" s="105"/>
    </row>
    <row r="62" customFormat="false" ht="15" hidden="false" customHeight="false" outlineLevel="0" collapsed="false">
      <c r="A62" s="101" t="s">
        <v>1387</v>
      </c>
      <c r="B62" s="102"/>
      <c r="C62" s="102"/>
      <c r="D62" s="102"/>
      <c r="E62" s="102"/>
      <c r="F62" s="99" t="str">
        <f aca="false">IF(E62="","",IFERROR(INDEX('Fontes e Parcerias'!$C$5:$C$500,MATCH(IFERROR(LEFT(E62,FIND(" · ",E62)-1),E62),'Fontes e Parcerias'!$A$5:$A$500,0)),"Fonte não encontrada"))</f>
        <v/>
      </c>
      <c r="G62" s="103"/>
      <c r="H62" s="102"/>
      <c r="I62" s="102"/>
      <c r="J62" s="117"/>
      <c r="K62" s="103"/>
      <c r="L62" s="103"/>
      <c r="M62" s="99" t="str">
        <f aca="false">IF(OR(K62="",L62=""),"",IF((IF(L62="Alto",3,IF(L62="Médio",2,1))-IF(K62="Alto",3,IF(K62="Médio",2,1)))=2,"⚡ Quick win",IF((IF(L62="Alto",3,IF(L62="Médio",2,1))-IF(K62="Alto",3,IF(K62="Médio",2,1)))=1,"🚀 Alto retorno",IF(AND(L62="Alto",K62="Alto"),"🎯 Estratégica",IF((IF(L62="Alto",3,IF(L62="Médio",2,1))-IF(K62="Alto",3,IF(K62="Médio",2,1)))=0,"⚖ Equilibrada","⏳ Baixo retorno")))))</f>
        <v/>
      </c>
      <c r="N62" s="102"/>
      <c r="O62" s="102"/>
      <c r="P62" s="103"/>
      <c r="Q62" s="102"/>
      <c r="R62" s="104"/>
      <c r="S62" s="102"/>
      <c r="T62" s="104"/>
      <c r="U62" s="102"/>
    </row>
    <row r="63" customFormat="false" ht="15" hidden="false" customHeight="false" outlineLevel="0" collapsed="false">
      <c r="A63" s="93" t="s">
        <v>1388</v>
      </c>
      <c r="B63" s="105"/>
      <c r="C63" s="105"/>
      <c r="D63" s="105"/>
      <c r="E63" s="105"/>
      <c r="F63" s="99" t="str">
        <f aca="false">IF(E63="","",IFERROR(INDEX('Fontes e Parcerias'!$C$5:$C$500,MATCH(IFERROR(LEFT(E63,FIND(" · ",E63)-1),E63),'Fontes e Parcerias'!$A$5:$A$500,0)),"Fonte não encontrada"))</f>
        <v/>
      </c>
      <c r="G63" s="106"/>
      <c r="H63" s="105"/>
      <c r="I63" s="105"/>
      <c r="J63" s="118"/>
      <c r="K63" s="106"/>
      <c r="L63" s="106"/>
      <c r="M63" s="99" t="str">
        <f aca="false">IF(OR(K63="",L63=""),"",IF((IF(L63="Alto",3,IF(L63="Médio",2,1))-IF(K63="Alto",3,IF(K63="Médio",2,1)))=2,"⚡ Quick win",IF((IF(L63="Alto",3,IF(L63="Médio",2,1))-IF(K63="Alto",3,IF(K63="Médio",2,1)))=1,"🚀 Alto retorno",IF(AND(L63="Alto",K63="Alto"),"🎯 Estratégica",IF((IF(L63="Alto",3,IF(L63="Médio",2,1))-IF(K63="Alto",3,IF(K63="Médio",2,1)))=0,"⚖ Equilibrada","⏳ Baixo retorno")))))</f>
        <v/>
      </c>
      <c r="N63" s="105"/>
      <c r="O63" s="105"/>
      <c r="P63" s="106"/>
      <c r="Q63" s="105"/>
      <c r="R63" s="107"/>
      <c r="S63" s="105"/>
      <c r="T63" s="107"/>
      <c r="U63" s="105"/>
    </row>
    <row r="64" customFormat="false" ht="15" hidden="false" customHeight="false" outlineLevel="0" collapsed="false">
      <c r="A64" s="101" t="s">
        <v>1389</v>
      </c>
      <c r="B64" s="102"/>
      <c r="C64" s="102"/>
      <c r="D64" s="102"/>
      <c r="E64" s="102"/>
      <c r="F64" s="99" t="str">
        <f aca="false">IF(E64="","",IFERROR(INDEX('Fontes e Parcerias'!$C$5:$C$500,MATCH(IFERROR(LEFT(E64,FIND(" · ",E64)-1),E64),'Fontes e Parcerias'!$A$5:$A$500,0)),"Fonte não encontrada"))</f>
        <v/>
      </c>
      <c r="G64" s="103"/>
      <c r="H64" s="102"/>
      <c r="I64" s="102"/>
      <c r="J64" s="117"/>
      <c r="K64" s="103"/>
      <c r="L64" s="103"/>
      <c r="M64" s="99" t="str">
        <f aca="false">IF(OR(K64="",L64=""),"",IF((IF(L64="Alto",3,IF(L64="Médio",2,1))-IF(K64="Alto",3,IF(K64="Médio",2,1)))=2,"⚡ Quick win",IF((IF(L64="Alto",3,IF(L64="Médio",2,1))-IF(K64="Alto",3,IF(K64="Médio",2,1)))=1,"🚀 Alto retorno",IF(AND(L64="Alto",K64="Alto"),"🎯 Estratégica",IF((IF(L64="Alto",3,IF(L64="Médio",2,1))-IF(K64="Alto",3,IF(K64="Médio",2,1)))=0,"⚖ Equilibrada","⏳ Baixo retorno")))))</f>
        <v/>
      </c>
      <c r="N64" s="102"/>
      <c r="O64" s="102"/>
      <c r="P64" s="103"/>
      <c r="Q64" s="102"/>
      <c r="R64" s="104"/>
      <c r="S64" s="102"/>
      <c r="T64" s="104"/>
      <c r="U64" s="102"/>
    </row>
    <row r="65" customFormat="false" ht="15" hidden="false" customHeight="false" outlineLevel="0" collapsed="false">
      <c r="A65" s="93" t="s">
        <v>1390</v>
      </c>
      <c r="B65" s="105"/>
      <c r="C65" s="105"/>
      <c r="D65" s="105"/>
      <c r="E65" s="105"/>
      <c r="F65" s="99" t="str">
        <f aca="false">IF(E65="","",IFERROR(INDEX('Fontes e Parcerias'!$C$5:$C$500,MATCH(IFERROR(LEFT(E65,FIND(" · ",E65)-1),E65),'Fontes e Parcerias'!$A$5:$A$500,0)),"Fonte não encontrada"))</f>
        <v/>
      </c>
      <c r="G65" s="106"/>
      <c r="H65" s="105"/>
      <c r="I65" s="105"/>
      <c r="J65" s="118"/>
      <c r="K65" s="106"/>
      <c r="L65" s="106"/>
      <c r="M65" s="99" t="str">
        <f aca="false">IF(OR(K65="",L65=""),"",IF((IF(L65="Alto",3,IF(L65="Médio",2,1))-IF(K65="Alto",3,IF(K65="Médio",2,1)))=2,"⚡ Quick win",IF((IF(L65="Alto",3,IF(L65="Médio",2,1))-IF(K65="Alto",3,IF(K65="Médio",2,1)))=1,"🚀 Alto retorno",IF(AND(L65="Alto",K65="Alto"),"🎯 Estratégica",IF((IF(L65="Alto",3,IF(L65="Médio",2,1))-IF(K65="Alto",3,IF(K65="Médio",2,1)))=0,"⚖ Equilibrada","⏳ Baixo retorno")))))</f>
        <v/>
      </c>
      <c r="N65" s="105"/>
      <c r="O65" s="105"/>
      <c r="P65" s="106"/>
      <c r="Q65" s="105"/>
      <c r="R65" s="107"/>
      <c r="S65" s="105"/>
      <c r="T65" s="107"/>
      <c r="U65" s="105"/>
    </row>
    <row r="66" customFormat="false" ht="15" hidden="false" customHeight="false" outlineLevel="0" collapsed="false">
      <c r="A66" s="101" t="s">
        <v>1391</v>
      </c>
      <c r="B66" s="102"/>
      <c r="C66" s="102"/>
      <c r="D66" s="102"/>
      <c r="E66" s="102"/>
      <c r="F66" s="99" t="str">
        <f aca="false">IF(E66="","",IFERROR(INDEX('Fontes e Parcerias'!$C$5:$C$500,MATCH(IFERROR(LEFT(E66,FIND(" · ",E66)-1),E66),'Fontes e Parcerias'!$A$5:$A$500,0)),"Fonte não encontrada"))</f>
        <v/>
      </c>
      <c r="G66" s="103"/>
      <c r="H66" s="102"/>
      <c r="I66" s="102"/>
      <c r="J66" s="117"/>
      <c r="K66" s="103"/>
      <c r="L66" s="103"/>
      <c r="M66" s="99" t="str">
        <f aca="false">IF(OR(K66="",L66=""),"",IF((IF(L66="Alto",3,IF(L66="Médio",2,1))-IF(K66="Alto",3,IF(K66="Médio",2,1)))=2,"⚡ Quick win",IF((IF(L66="Alto",3,IF(L66="Médio",2,1))-IF(K66="Alto",3,IF(K66="Médio",2,1)))=1,"🚀 Alto retorno",IF(AND(L66="Alto",K66="Alto"),"🎯 Estratégica",IF((IF(L66="Alto",3,IF(L66="Médio",2,1))-IF(K66="Alto",3,IF(K66="Médio",2,1)))=0,"⚖ Equilibrada","⏳ Baixo retorno")))))</f>
        <v/>
      </c>
      <c r="N66" s="102"/>
      <c r="O66" s="102"/>
      <c r="P66" s="103"/>
      <c r="Q66" s="102"/>
      <c r="R66" s="104"/>
      <c r="S66" s="102"/>
      <c r="T66" s="104"/>
      <c r="U66" s="102"/>
    </row>
    <row r="67" customFormat="false" ht="15" hidden="false" customHeight="false" outlineLevel="0" collapsed="false">
      <c r="A67" s="93" t="s">
        <v>1392</v>
      </c>
      <c r="B67" s="105"/>
      <c r="C67" s="105"/>
      <c r="D67" s="105"/>
      <c r="E67" s="105"/>
      <c r="F67" s="99" t="str">
        <f aca="false">IF(E67="","",IFERROR(INDEX('Fontes e Parcerias'!$C$5:$C$500,MATCH(IFERROR(LEFT(E67,FIND(" · ",E67)-1),E67),'Fontes e Parcerias'!$A$5:$A$500,0)),"Fonte não encontrada"))</f>
        <v/>
      </c>
      <c r="G67" s="106"/>
      <c r="H67" s="105"/>
      <c r="I67" s="105"/>
      <c r="J67" s="118"/>
      <c r="K67" s="106"/>
      <c r="L67" s="106"/>
      <c r="M67" s="99" t="str">
        <f aca="false">IF(OR(K67="",L67=""),"",IF((IF(L67="Alto",3,IF(L67="Médio",2,1))-IF(K67="Alto",3,IF(K67="Médio",2,1)))=2,"⚡ Quick win",IF((IF(L67="Alto",3,IF(L67="Médio",2,1))-IF(K67="Alto",3,IF(K67="Médio",2,1)))=1,"🚀 Alto retorno",IF(AND(L67="Alto",K67="Alto"),"🎯 Estratégica",IF((IF(L67="Alto",3,IF(L67="Médio",2,1))-IF(K67="Alto",3,IF(K67="Médio",2,1)))=0,"⚖ Equilibrada","⏳ Baixo retorno")))))</f>
        <v/>
      </c>
      <c r="N67" s="105"/>
      <c r="O67" s="105"/>
      <c r="P67" s="106"/>
      <c r="Q67" s="105"/>
      <c r="R67" s="107"/>
      <c r="S67" s="105"/>
      <c r="T67" s="107"/>
      <c r="U67" s="105"/>
    </row>
    <row r="68" customFormat="false" ht="15" hidden="false" customHeight="false" outlineLevel="0" collapsed="false">
      <c r="A68" s="101" t="s">
        <v>1393</v>
      </c>
      <c r="B68" s="102"/>
      <c r="C68" s="102"/>
      <c r="D68" s="102"/>
      <c r="E68" s="102"/>
      <c r="F68" s="99" t="str">
        <f aca="false">IF(E68="","",IFERROR(INDEX('Fontes e Parcerias'!$C$5:$C$500,MATCH(IFERROR(LEFT(E68,FIND(" · ",E68)-1),E68),'Fontes e Parcerias'!$A$5:$A$500,0)),"Fonte não encontrada"))</f>
        <v/>
      </c>
      <c r="G68" s="103"/>
      <c r="H68" s="102"/>
      <c r="I68" s="102"/>
      <c r="J68" s="117"/>
      <c r="K68" s="103"/>
      <c r="L68" s="103"/>
      <c r="M68" s="99" t="str">
        <f aca="false">IF(OR(K68="",L68=""),"",IF((IF(L68="Alto",3,IF(L68="Médio",2,1))-IF(K68="Alto",3,IF(K68="Médio",2,1)))=2,"⚡ Quick win",IF((IF(L68="Alto",3,IF(L68="Médio",2,1))-IF(K68="Alto",3,IF(K68="Médio",2,1)))=1,"🚀 Alto retorno",IF(AND(L68="Alto",K68="Alto"),"🎯 Estratégica",IF((IF(L68="Alto",3,IF(L68="Médio",2,1))-IF(K68="Alto",3,IF(K68="Médio",2,1)))=0,"⚖ Equilibrada","⏳ Baixo retorno")))))</f>
        <v/>
      </c>
      <c r="N68" s="102"/>
      <c r="O68" s="102"/>
      <c r="P68" s="103"/>
      <c r="Q68" s="102"/>
      <c r="R68" s="104"/>
      <c r="S68" s="102"/>
      <c r="T68" s="104"/>
      <c r="U68" s="102"/>
    </row>
    <row r="69" customFormat="false" ht="15" hidden="false" customHeight="false" outlineLevel="0" collapsed="false">
      <c r="A69" s="93" t="s">
        <v>1394</v>
      </c>
      <c r="B69" s="105"/>
      <c r="C69" s="105"/>
      <c r="D69" s="105"/>
      <c r="E69" s="105"/>
      <c r="F69" s="99" t="str">
        <f aca="false">IF(E69="","",IFERROR(INDEX('Fontes e Parcerias'!$C$5:$C$500,MATCH(IFERROR(LEFT(E69,FIND(" · ",E69)-1),E69),'Fontes e Parcerias'!$A$5:$A$500,0)),"Fonte não encontrada"))</f>
        <v/>
      </c>
      <c r="G69" s="106"/>
      <c r="H69" s="105"/>
      <c r="I69" s="105"/>
      <c r="J69" s="118"/>
      <c r="K69" s="106"/>
      <c r="L69" s="106"/>
      <c r="M69" s="99" t="str">
        <f aca="false">IF(OR(K69="",L69=""),"",IF((IF(L69="Alto",3,IF(L69="Médio",2,1))-IF(K69="Alto",3,IF(K69="Médio",2,1)))=2,"⚡ Quick win",IF((IF(L69="Alto",3,IF(L69="Médio",2,1))-IF(K69="Alto",3,IF(K69="Médio",2,1)))=1,"🚀 Alto retorno",IF(AND(L69="Alto",K69="Alto"),"🎯 Estratégica",IF((IF(L69="Alto",3,IF(L69="Médio",2,1))-IF(K69="Alto",3,IF(K69="Médio",2,1)))=0,"⚖ Equilibrada","⏳ Baixo retorno")))))</f>
        <v/>
      </c>
      <c r="N69" s="105"/>
      <c r="O69" s="105"/>
      <c r="P69" s="106"/>
      <c r="Q69" s="105"/>
      <c r="R69" s="107"/>
      <c r="S69" s="105"/>
      <c r="T69" s="107"/>
      <c r="U69" s="105"/>
    </row>
    <row r="70" customFormat="false" ht="15" hidden="false" customHeight="false" outlineLevel="0" collapsed="false">
      <c r="A70" s="101" t="s">
        <v>1395</v>
      </c>
      <c r="B70" s="102"/>
      <c r="C70" s="102"/>
      <c r="D70" s="102"/>
      <c r="E70" s="102"/>
      <c r="F70" s="99" t="str">
        <f aca="false">IF(E70="","",IFERROR(INDEX('Fontes e Parcerias'!$C$5:$C$500,MATCH(IFERROR(LEFT(E70,FIND(" · ",E70)-1),E70),'Fontes e Parcerias'!$A$5:$A$500,0)),"Fonte não encontrada"))</f>
        <v/>
      </c>
      <c r="G70" s="103"/>
      <c r="H70" s="102"/>
      <c r="I70" s="102"/>
      <c r="J70" s="117"/>
      <c r="K70" s="103"/>
      <c r="L70" s="103"/>
      <c r="M70" s="99" t="str">
        <f aca="false">IF(OR(K70="",L70=""),"",IF((IF(L70="Alto",3,IF(L70="Médio",2,1))-IF(K70="Alto",3,IF(K70="Médio",2,1)))=2,"⚡ Quick win",IF((IF(L70="Alto",3,IF(L70="Médio",2,1))-IF(K70="Alto",3,IF(K70="Médio",2,1)))=1,"🚀 Alto retorno",IF(AND(L70="Alto",K70="Alto"),"🎯 Estratégica",IF((IF(L70="Alto",3,IF(L70="Médio",2,1))-IF(K70="Alto",3,IF(K70="Médio",2,1)))=0,"⚖ Equilibrada","⏳ Baixo retorno")))))</f>
        <v/>
      </c>
      <c r="N70" s="102"/>
      <c r="O70" s="102"/>
      <c r="P70" s="103"/>
      <c r="Q70" s="102"/>
      <c r="R70" s="104"/>
      <c r="S70" s="102"/>
      <c r="T70" s="104"/>
      <c r="U70" s="102"/>
    </row>
    <row r="71" customFormat="false" ht="15" hidden="false" customHeight="false" outlineLevel="0" collapsed="false">
      <c r="A71" s="93" t="s">
        <v>1396</v>
      </c>
      <c r="B71" s="105"/>
      <c r="C71" s="105"/>
      <c r="D71" s="105"/>
      <c r="E71" s="105"/>
      <c r="F71" s="99" t="str">
        <f aca="false">IF(E71="","",IFERROR(INDEX('Fontes e Parcerias'!$C$5:$C$500,MATCH(IFERROR(LEFT(E71,FIND(" · ",E71)-1),E71),'Fontes e Parcerias'!$A$5:$A$500,0)),"Fonte não encontrada"))</f>
        <v/>
      </c>
      <c r="G71" s="106"/>
      <c r="H71" s="105"/>
      <c r="I71" s="105"/>
      <c r="J71" s="118"/>
      <c r="K71" s="106"/>
      <c r="L71" s="106"/>
      <c r="M71" s="99" t="str">
        <f aca="false">IF(OR(K71="",L71=""),"",IF((IF(L71="Alto",3,IF(L71="Médio",2,1))-IF(K71="Alto",3,IF(K71="Médio",2,1)))=2,"⚡ Quick win",IF((IF(L71="Alto",3,IF(L71="Médio",2,1))-IF(K71="Alto",3,IF(K71="Médio",2,1)))=1,"🚀 Alto retorno",IF(AND(L71="Alto",K71="Alto"),"🎯 Estratégica",IF((IF(L71="Alto",3,IF(L71="Médio",2,1))-IF(K71="Alto",3,IF(K71="Médio",2,1)))=0,"⚖ Equilibrada","⏳ Baixo retorno")))))</f>
        <v/>
      </c>
      <c r="N71" s="105"/>
      <c r="O71" s="105"/>
      <c r="P71" s="106"/>
      <c r="Q71" s="105"/>
      <c r="R71" s="107"/>
      <c r="S71" s="105"/>
      <c r="T71" s="107"/>
      <c r="U71" s="105"/>
    </row>
    <row r="72" customFormat="false" ht="15" hidden="false" customHeight="false" outlineLevel="0" collapsed="false">
      <c r="A72" s="101" t="s">
        <v>1397</v>
      </c>
      <c r="B72" s="102"/>
      <c r="C72" s="102"/>
      <c r="D72" s="102"/>
      <c r="E72" s="102"/>
      <c r="F72" s="99" t="str">
        <f aca="false">IF(E72="","",IFERROR(INDEX('Fontes e Parcerias'!$C$5:$C$500,MATCH(IFERROR(LEFT(E72,FIND(" · ",E72)-1),E72),'Fontes e Parcerias'!$A$5:$A$500,0)),"Fonte não encontrada"))</f>
        <v/>
      </c>
      <c r="G72" s="103"/>
      <c r="H72" s="102"/>
      <c r="I72" s="102"/>
      <c r="J72" s="117"/>
      <c r="K72" s="103"/>
      <c r="L72" s="103"/>
      <c r="M72" s="99" t="str">
        <f aca="false">IF(OR(K72="",L72=""),"",IF((IF(L72="Alto",3,IF(L72="Médio",2,1))-IF(K72="Alto",3,IF(K72="Médio",2,1)))=2,"⚡ Quick win",IF((IF(L72="Alto",3,IF(L72="Médio",2,1))-IF(K72="Alto",3,IF(K72="Médio",2,1)))=1,"🚀 Alto retorno",IF(AND(L72="Alto",K72="Alto"),"🎯 Estratégica",IF((IF(L72="Alto",3,IF(L72="Médio",2,1))-IF(K72="Alto",3,IF(K72="Médio",2,1)))=0,"⚖ Equilibrada","⏳ Baixo retorno")))))</f>
        <v/>
      </c>
      <c r="N72" s="102"/>
      <c r="O72" s="102"/>
      <c r="P72" s="103"/>
      <c r="Q72" s="102"/>
      <c r="R72" s="104"/>
      <c r="S72" s="102"/>
      <c r="T72" s="104"/>
      <c r="U72" s="102"/>
    </row>
    <row r="73" customFormat="false" ht="15" hidden="false" customHeight="false" outlineLevel="0" collapsed="false">
      <c r="A73" s="93" t="s">
        <v>1398</v>
      </c>
      <c r="B73" s="105"/>
      <c r="C73" s="105"/>
      <c r="D73" s="105"/>
      <c r="E73" s="105"/>
      <c r="F73" s="99" t="str">
        <f aca="false">IF(E73="","",IFERROR(INDEX('Fontes e Parcerias'!$C$5:$C$500,MATCH(IFERROR(LEFT(E73,FIND(" · ",E73)-1),E73),'Fontes e Parcerias'!$A$5:$A$500,0)),"Fonte não encontrada"))</f>
        <v/>
      </c>
      <c r="G73" s="106"/>
      <c r="H73" s="105"/>
      <c r="I73" s="105"/>
      <c r="J73" s="118"/>
      <c r="K73" s="106"/>
      <c r="L73" s="106"/>
      <c r="M73" s="99" t="str">
        <f aca="false">IF(OR(K73="",L73=""),"",IF((IF(L73="Alto",3,IF(L73="Médio",2,1))-IF(K73="Alto",3,IF(K73="Médio",2,1)))=2,"⚡ Quick win",IF((IF(L73="Alto",3,IF(L73="Médio",2,1))-IF(K73="Alto",3,IF(K73="Médio",2,1)))=1,"🚀 Alto retorno",IF(AND(L73="Alto",K73="Alto"),"🎯 Estratégica",IF((IF(L73="Alto",3,IF(L73="Médio",2,1))-IF(K73="Alto",3,IF(K73="Médio",2,1)))=0,"⚖ Equilibrada","⏳ Baixo retorno")))))</f>
        <v/>
      </c>
      <c r="N73" s="105"/>
      <c r="O73" s="105"/>
      <c r="P73" s="106"/>
      <c r="Q73" s="105"/>
      <c r="R73" s="107"/>
      <c r="S73" s="105"/>
      <c r="T73" s="107"/>
      <c r="U73" s="105"/>
    </row>
    <row r="74" customFormat="false" ht="15" hidden="false" customHeight="false" outlineLevel="0" collapsed="false">
      <c r="A74" s="101" t="s">
        <v>1399</v>
      </c>
      <c r="B74" s="102"/>
      <c r="C74" s="102"/>
      <c r="D74" s="102"/>
      <c r="E74" s="102"/>
      <c r="F74" s="99" t="str">
        <f aca="false">IF(E74="","",IFERROR(INDEX('Fontes e Parcerias'!$C$5:$C$500,MATCH(IFERROR(LEFT(E74,FIND(" · ",E74)-1),E74),'Fontes e Parcerias'!$A$5:$A$500,0)),"Fonte não encontrada"))</f>
        <v/>
      </c>
      <c r="G74" s="103"/>
      <c r="H74" s="102"/>
      <c r="I74" s="102"/>
      <c r="J74" s="117"/>
      <c r="K74" s="103"/>
      <c r="L74" s="103"/>
      <c r="M74" s="99" t="str">
        <f aca="false">IF(OR(K74="",L74=""),"",IF((IF(L74="Alto",3,IF(L74="Médio",2,1))-IF(K74="Alto",3,IF(K74="Médio",2,1)))=2,"⚡ Quick win",IF((IF(L74="Alto",3,IF(L74="Médio",2,1))-IF(K74="Alto",3,IF(K74="Médio",2,1)))=1,"🚀 Alto retorno",IF(AND(L74="Alto",K74="Alto"),"🎯 Estratégica",IF((IF(L74="Alto",3,IF(L74="Médio",2,1))-IF(K74="Alto",3,IF(K74="Médio",2,1)))=0,"⚖ Equilibrada","⏳ Baixo retorno")))))</f>
        <v/>
      </c>
      <c r="N74" s="102"/>
      <c r="O74" s="102"/>
      <c r="P74" s="103"/>
      <c r="Q74" s="102"/>
      <c r="R74" s="104"/>
      <c r="S74" s="102"/>
      <c r="T74" s="104"/>
      <c r="U74" s="102"/>
    </row>
    <row r="75" customFormat="false" ht="15" hidden="false" customHeight="false" outlineLevel="0" collapsed="false">
      <c r="A75" s="93" t="s">
        <v>1400</v>
      </c>
      <c r="B75" s="105"/>
      <c r="C75" s="105"/>
      <c r="D75" s="105"/>
      <c r="E75" s="105"/>
      <c r="F75" s="99" t="str">
        <f aca="false">IF(E75="","",IFERROR(INDEX('Fontes e Parcerias'!$C$5:$C$500,MATCH(IFERROR(LEFT(E75,FIND(" · ",E75)-1),E75),'Fontes e Parcerias'!$A$5:$A$500,0)),"Fonte não encontrada"))</f>
        <v/>
      </c>
      <c r="G75" s="106"/>
      <c r="H75" s="105"/>
      <c r="I75" s="105"/>
      <c r="J75" s="118"/>
      <c r="K75" s="106"/>
      <c r="L75" s="106"/>
      <c r="M75" s="99" t="str">
        <f aca="false">IF(OR(K75="",L75=""),"",IF((IF(L75="Alto",3,IF(L75="Médio",2,1))-IF(K75="Alto",3,IF(K75="Médio",2,1)))=2,"⚡ Quick win",IF((IF(L75="Alto",3,IF(L75="Médio",2,1))-IF(K75="Alto",3,IF(K75="Médio",2,1)))=1,"🚀 Alto retorno",IF(AND(L75="Alto",K75="Alto"),"🎯 Estratégica",IF((IF(L75="Alto",3,IF(L75="Médio",2,1))-IF(K75="Alto",3,IF(K75="Médio",2,1)))=0,"⚖ Equilibrada","⏳ Baixo retorno")))))</f>
        <v/>
      </c>
      <c r="N75" s="105"/>
      <c r="O75" s="105"/>
      <c r="P75" s="106"/>
      <c r="Q75" s="105"/>
      <c r="R75" s="107"/>
      <c r="S75" s="105"/>
      <c r="T75" s="107"/>
      <c r="U75" s="105"/>
    </row>
    <row r="76" customFormat="false" ht="15" hidden="false" customHeight="false" outlineLevel="0" collapsed="false">
      <c r="A76" s="101" t="s">
        <v>1401</v>
      </c>
      <c r="B76" s="102"/>
      <c r="C76" s="102"/>
      <c r="D76" s="102"/>
      <c r="E76" s="102"/>
      <c r="F76" s="99" t="str">
        <f aca="false">IF(E76="","",IFERROR(INDEX('Fontes e Parcerias'!$C$5:$C$500,MATCH(IFERROR(LEFT(E76,FIND(" · ",E76)-1),E76),'Fontes e Parcerias'!$A$5:$A$500,0)),"Fonte não encontrada"))</f>
        <v/>
      </c>
      <c r="G76" s="103"/>
      <c r="H76" s="102"/>
      <c r="I76" s="102"/>
      <c r="J76" s="117"/>
      <c r="K76" s="103"/>
      <c r="L76" s="103"/>
      <c r="M76" s="99" t="str">
        <f aca="false">IF(OR(K76="",L76=""),"",IF((IF(L76="Alto",3,IF(L76="Médio",2,1))-IF(K76="Alto",3,IF(K76="Médio",2,1)))=2,"⚡ Quick win",IF((IF(L76="Alto",3,IF(L76="Médio",2,1))-IF(K76="Alto",3,IF(K76="Médio",2,1)))=1,"🚀 Alto retorno",IF(AND(L76="Alto",K76="Alto"),"🎯 Estratégica",IF((IF(L76="Alto",3,IF(L76="Médio",2,1))-IF(K76="Alto",3,IF(K76="Médio",2,1)))=0,"⚖ Equilibrada","⏳ Baixo retorno")))))</f>
        <v/>
      </c>
      <c r="N76" s="102"/>
      <c r="O76" s="102"/>
      <c r="P76" s="103"/>
      <c r="Q76" s="102"/>
      <c r="R76" s="104"/>
      <c r="S76" s="102"/>
      <c r="T76" s="104"/>
      <c r="U76" s="102"/>
    </row>
    <row r="77" customFormat="false" ht="15" hidden="false" customHeight="false" outlineLevel="0" collapsed="false">
      <c r="A77" s="93" t="s">
        <v>1402</v>
      </c>
      <c r="B77" s="105"/>
      <c r="C77" s="105"/>
      <c r="D77" s="105"/>
      <c r="E77" s="105"/>
      <c r="F77" s="99" t="str">
        <f aca="false">IF(E77="","",IFERROR(INDEX('Fontes e Parcerias'!$C$5:$C$500,MATCH(IFERROR(LEFT(E77,FIND(" · ",E77)-1),E77),'Fontes e Parcerias'!$A$5:$A$500,0)),"Fonte não encontrada"))</f>
        <v/>
      </c>
      <c r="G77" s="106"/>
      <c r="H77" s="105"/>
      <c r="I77" s="105"/>
      <c r="J77" s="118"/>
      <c r="K77" s="106"/>
      <c r="L77" s="106"/>
      <c r="M77" s="99" t="str">
        <f aca="false">IF(OR(K77="",L77=""),"",IF((IF(L77="Alto",3,IF(L77="Médio",2,1))-IF(K77="Alto",3,IF(K77="Médio",2,1)))=2,"⚡ Quick win",IF((IF(L77="Alto",3,IF(L77="Médio",2,1))-IF(K77="Alto",3,IF(K77="Médio",2,1)))=1,"🚀 Alto retorno",IF(AND(L77="Alto",K77="Alto"),"🎯 Estratégica",IF((IF(L77="Alto",3,IF(L77="Médio",2,1))-IF(K77="Alto",3,IF(K77="Médio",2,1)))=0,"⚖ Equilibrada","⏳ Baixo retorno")))))</f>
        <v/>
      </c>
      <c r="N77" s="105"/>
      <c r="O77" s="105"/>
      <c r="P77" s="106"/>
      <c r="Q77" s="105"/>
      <c r="R77" s="107"/>
      <c r="S77" s="105"/>
      <c r="T77" s="107"/>
      <c r="U77" s="105"/>
    </row>
    <row r="78" customFormat="false" ht="15" hidden="false" customHeight="false" outlineLevel="0" collapsed="false">
      <c r="A78" s="101" t="s">
        <v>1403</v>
      </c>
      <c r="B78" s="102"/>
      <c r="C78" s="102"/>
      <c r="D78" s="102"/>
      <c r="E78" s="102"/>
      <c r="F78" s="99" t="str">
        <f aca="false">IF(E78="","",IFERROR(INDEX('Fontes e Parcerias'!$C$5:$C$500,MATCH(IFERROR(LEFT(E78,FIND(" · ",E78)-1),E78),'Fontes e Parcerias'!$A$5:$A$500,0)),"Fonte não encontrada"))</f>
        <v/>
      </c>
      <c r="G78" s="103"/>
      <c r="H78" s="102"/>
      <c r="I78" s="102"/>
      <c r="J78" s="117"/>
      <c r="K78" s="103"/>
      <c r="L78" s="103"/>
      <c r="M78" s="99" t="str">
        <f aca="false">IF(OR(K78="",L78=""),"",IF((IF(L78="Alto",3,IF(L78="Médio",2,1))-IF(K78="Alto",3,IF(K78="Médio",2,1)))=2,"⚡ Quick win",IF((IF(L78="Alto",3,IF(L78="Médio",2,1))-IF(K78="Alto",3,IF(K78="Médio",2,1)))=1,"🚀 Alto retorno",IF(AND(L78="Alto",K78="Alto"),"🎯 Estratégica",IF((IF(L78="Alto",3,IF(L78="Médio",2,1))-IF(K78="Alto",3,IF(K78="Médio",2,1)))=0,"⚖ Equilibrada","⏳ Baixo retorno")))))</f>
        <v/>
      </c>
      <c r="N78" s="102"/>
      <c r="O78" s="102"/>
      <c r="P78" s="103"/>
      <c r="Q78" s="102"/>
      <c r="R78" s="104"/>
      <c r="S78" s="102"/>
      <c r="T78" s="104"/>
      <c r="U78" s="102"/>
    </row>
    <row r="79" customFormat="false" ht="15" hidden="false" customHeight="false" outlineLevel="0" collapsed="false">
      <c r="A79" s="93" t="s">
        <v>1404</v>
      </c>
      <c r="B79" s="105"/>
      <c r="C79" s="105"/>
      <c r="D79" s="105"/>
      <c r="E79" s="105"/>
      <c r="F79" s="99" t="str">
        <f aca="false">IF(E79="","",IFERROR(INDEX('Fontes e Parcerias'!$C$5:$C$500,MATCH(IFERROR(LEFT(E79,FIND(" · ",E79)-1),E79),'Fontes e Parcerias'!$A$5:$A$500,0)),"Fonte não encontrada"))</f>
        <v/>
      </c>
      <c r="G79" s="106"/>
      <c r="H79" s="105"/>
      <c r="I79" s="105"/>
      <c r="J79" s="118"/>
      <c r="K79" s="106"/>
      <c r="L79" s="106"/>
      <c r="M79" s="99" t="str">
        <f aca="false">IF(OR(K79="",L79=""),"",IF((IF(L79="Alto",3,IF(L79="Médio",2,1))-IF(K79="Alto",3,IF(K79="Médio",2,1)))=2,"⚡ Quick win",IF((IF(L79="Alto",3,IF(L79="Médio",2,1))-IF(K79="Alto",3,IF(K79="Médio",2,1)))=1,"🚀 Alto retorno",IF(AND(L79="Alto",K79="Alto"),"🎯 Estratégica",IF((IF(L79="Alto",3,IF(L79="Médio",2,1))-IF(K79="Alto",3,IF(K79="Médio",2,1)))=0,"⚖ Equilibrada","⏳ Baixo retorno")))))</f>
        <v/>
      </c>
      <c r="N79" s="105"/>
      <c r="O79" s="105"/>
      <c r="P79" s="106"/>
      <c r="Q79" s="105"/>
      <c r="R79" s="107"/>
      <c r="S79" s="105"/>
      <c r="T79" s="107"/>
      <c r="U79" s="105"/>
    </row>
    <row r="80" customFormat="false" ht="15" hidden="false" customHeight="false" outlineLevel="0" collapsed="false">
      <c r="A80" s="101" t="s">
        <v>1405</v>
      </c>
      <c r="B80" s="102"/>
      <c r="C80" s="102"/>
      <c r="D80" s="102"/>
      <c r="E80" s="102"/>
      <c r="F80" s="99" t="str">
        <f aca="false">IF(E80="","",IFERROR(INDEX('Fontes e Parcerias'!$C$5:$C$500,MATCH(IFERROR(LEFT(E80,FIND(" · ",E80)-1),E80),'Fontes e Parcerias'!$A$5:$A$500,0)),"Fonte não encontrada"))</f>
        <v/>
      </c>
      <c r="G80" s="103"/>
      <c r="H80" s="102"/>
      <c r="I80" s="102"/>
      <c r="J80" s="117"/>
      <c r="K80" s="103"/>
      <c r="L80" s="103"/>
      <c r="M80" s="99" t="str">
        <f aca="false">IF(OR(K80="",L80=""),"",IF((IF(L80="Alto",3,IF(L80="Médio",2,1))-IF(K80="Alto",3,IF(K80="Médio",2,1)))=2,"⚡ Quick win",IF((IF(L80="Alto",3,IF(L80="Médio",2,1))-IF(K80="Alto",3,IF(K80="Médio",2,1)))=1,"🚀 Alto retorno",IF(AND(L80="Alto",K80="Alto"),"🎯 Estratégica",IF((IF(L80="Alto",3,IF(L80="Médio",2,1))-IF(K80="Alto",3,IF(K80="Médio",2,1)))=0,"⚖ Equilibrada","⏳ Baixo retorno")))))</f>
        <v/>
      </c>
      <c r="N80" s="102"/>
      <c r="O80" s="102"/>
      <c r="P80" s="103"/>
      <c r="Q80" s="102"/>
      <c r="R80" s="104"/>
      <c r="S80" s="102"/>
      <c r="T80" s="104"/>
      <c r="U80" s="102"/>
    </row>
    <row r="81" customFormat="false" ht="15" hidden="false" customHeight="false" outlineLevel="0" collapsed="false">
      <c r="A81" s="93" t="s">
        <v>1406</v>
      </c>
      <c r="B81" s="105"/>
      <c r="C81" s="105"/>
      <c r="D81" s="105"/>
      <c r="E81" s="105"/>
      <c r="F81" s="99" t="str">
        <f aca="false">IF(E81="","",IFERROR(INDEX('Fontes e Parcerias'!$C$5:$C$500,MATCH(IFERROR(LEFT(E81,FIND(" · ",E81)-1),E81),'Fontes e Parcerias'!$A$5:$A$500,0)),"Fonte não encontrada"))</f>
        <v/>
      </c>
      <c r="G81" s="106"/>
      <c r="H81" s="105"/>
      <c r="I81" s="105"/>
      <c r="J81" s="118"/>
      <c r="K81" s="106"/>
      <c r="L81" s="106"/>
      <c r="M81" s="99" t="str">
        <f aca="false">IF(OR(K81="",L81=""),"",IF((IF(L81="Alto",3,IF(L81="Médio",2,1))-IF(K81="Alto",3,IF(K81="Médio",2,1)))=2,"⚡ Quick win",IF((IF(L81="Alto",3,IF(L81="Médio",2,1))-IF(K81="Alto",3,IF(K81="Médio",2,1)))=1,"🚀 Alto retorno",IF(AND(L81="Alto",K81="Alto"),"🎯 Estratégica",IF((IF(L81="Alto",3,IF(L81="Médio",2,1))-IF(K81="Alto",3,IF(K81="Médio",2,1)))=0,"⚖ Equilibrada","⏳ Baixo retorno")))))</f>
        <v/>
      </c>
      <c r="N81" s="105"/>
      <c r="O81" s="105"/>
      <c r="P81" s="106"/>
      <c r="Q81" s="105"/>
      <c r="R81" s="107"/>
      <c r="S81" s="105"/>
      <c r="T81" s="107"/>
      <c r="U81" s="105"/>
    </row>
    <row r="82" customFormat="false" ht="15" hidden="false" customHeight="false" outlineLevel="0" collapsed="false">
      <c r="A82" s="101" t="s">
        <v>1407</v>
      </c>
      <c r="B82" s="102"/>
      <c r="C82" s="102"/>
      <c r="D82" s="102"/>
      <c r="E82" s="102"/>
      <c r="F82" s="99" t="str">
        <f aca="false">IF(E82="","",IFERROR(INDEX('Fontes e Parcerias'!$C$5:$C$500,MATCH(IFERROR(LEFT(E82,FIND(" · ",E82)-1),E82),'Fontes e Parcerias'!$A$5:$A$500,0)),"Fonte não encontrada"))</f>
        <v/>
      </c>
      <c r="G82" s="103"/>
      <c r="H82" s="102"/>
      <c r="I82" s="102"/>
      <c r="J82" s="117"/>
      <c r="K82" s="103"/>
      <c r="L82" s="103"/>
      <c r="M82" s="99" t="str">
        <f aca="false">IF(OR(K82="",L82=""),"",IF((IF(L82="Alto",3,IF(L82="Médio",2,1))-IF(K82="Alto",3,IF(K82="Médio",2,1)))=2,"⚡ Quick win",IF((IF(L82="Alto",3,IF(L82="Médio",2,1))-IF(K82="Alto",3,IF(K82="Médio",2,1)))=1,"🚀 Alto retorno",IF(AND(L82="Alto",K82="Alto"),"🎯 Estratégica",IF((IF(L82="Alto",3,IF(L82="Médio",2,1))-IF(K82="Alto",3,IF(K82="Médio",2,1)))=0,"⚖ Equilibrada","⏳ Baixo retorno")))))</f>
        <v/>
      </c>
      <c r="N82" s="102"/>
      <c r="O82" s="102"/>
      <c r="P82" s="103"/>
      <c r="Q82" s="102"/>
      <c r="R82" s="104"/>
      <c r="S82" s="102"/>
      <c r="T82" s="104"/>
      <c r="U82" s="102"/>
    </row>
    <row r="83" customFormat="false" ht="15" hidden="false" customHeight="false" outlineLevel="0" collapsed="false">
      <c r="A83" s="93" t="s">
        <v>1408</v>
      </c>
      <c r="B83" s="105"/>
      <c r="C83" s="105"/>
      <c r="D83" s="105"/>
      <c r="E83" s="105"/>
      <c r="F83" s="99" t="str">
        <f aca="false">IF(E83="","",IFERROR(INDEX('Fontes e Parcerias'!$C$5:$C$500,MATCH(IFERROR(LEFT(E83,FIND(" · ",E83)-1),E83),'Fontes e Parcerias'!$A$5:$A$500,0)),"Fonte não encontrada"))</f>
        <v/>
      </c>
      <c r="G83" s="106"/>
      <c r="H83" s="105"/>
      <c r="I83" s="105"/>
      <c r="J83" s="118"/>
      <c r="K83" s="106"/>
      <c r="L83" s="106"/>
      <c r="M83" s="99" t="str">
        <f aca="false">IF(OR(K83="",L83=""),"",IF((IF(L83="Alto",3,IF(L83="Médio",2,1))-IF(K83="Alto",3,IF(K83="Médio",2,1)))=2,"⚡ Quick win",IF((IF(L83="Alto",3,IF(L83="Médio",2,1))-IF(K83="Alto",3,IF(K83="Médio",2,1)))=1,"🚀 Alto retorno",IF(AND(L83="Alto",K83="Alto"),"🎯 Estratégica",IF((IF(L83="Alto",3,IF(L83="Médio",2,1))-IF(K83="Alto",3,IF(K83="Médio",2,1)))=0,"⚖ Equilibrada","⏳ Baixo retorno")))))</f>
        <v/>
      </c>
      <c r="N83" s="105"/>
      <c r="O83" s="105"/>
      <c r="P83" s="106"/>
      <c r="Q83" s="105"/>
      <c r="R83" s="107"/>
      <c r="S83" s="105"/>
      <c r="T83" s="107"/>
      <c r="U83" s="105"/>
    </row>
    <row r="84" customFormat="false" ht="15" hidden="false" customHeight="false" outlineLevel="0" collapsed="false">
      <c r="A84" s="101" t="s">
        <v>1409</v>
      </c>
      <c r="B84" s="102"/>
      <c r="C84" s="102"/>
      <c r="D84" s="102"/>
      <c r="E84" s="102"/>
      <c r="F84" s="99" t="str">
        <f aca="false">IF(E84="","",IFERROR(INDEX('Fontes e Parcerias'!$C$5:$C$500,MATCH(IFERROR(LEFT(E84,FIND(" · ",E84)-1),E84),'Fontes e Parcerias'!$A$5:$A$500,0)),"Fonte não encontrada"))</f>
        <v/>
      </c>
      <c r="G84" s="103"/>
      <c r="H84" s="102"/>
      <c r="I84" s="102"/>
      <c r="J84" s="117"/>
      <c r="K84" s="103"/>
      <c r="L84" s="103"/>
      <c r="M84" s="99" t="str">
        <f aca="false">IF(OR(K84="",L84=""),"",IF((IF(L84="Alto",3,IF(L84="Médio",2,1))-IF(K84="Alto",3,IF(K84="Médio",2,1)))=2,"⚡ Quick win",IF((IF(L84="Alto",3,IF(L84="Médio",2,1))-IF(K84="Alto",3,IF(K84="Médio",2,1)))=1,"🚀 Alto retorno",IF(AND(L84="Alto",K84="Alto"),"🎯 Estratégica",IF((IF(L84="Alto",3,IF(L84="Médio",2,1))-IF(K84="Alto",3,IF(K84="Médio",2,1)))=0,"⚖ Equilibrada","⏳ Baixo retorno")))))</f>
        <v/>
      </c>
      <c r="N84" s="102"/>
      <c r="O84" s="102"/>
      <c r="P84" s="103"/>
      <c r="Q84" s="102"/>
      <c r="R84" s="104"/>
      <c r="S84" s="102"/>
      <c r="T84" s="104"/>
      <c r="U84" s="102"/>
    </row>
    <row r="85" customFormat="false" ht="15" hidden="false" customHeight="false" outlineLevel="0" collapsed="false">
      <c r="A85" s="93" t="s">
        <v>1410</v>
      </c>
      <c r="B85" s="105"/>
      <c r="C85" s="105"/>
      <c r="D85" s="105"/>
      <c r="E85" s="105"/>
      <c r="F85" s="99" t="str">
        <f aca="false">IF(E85="","",IFERROR(INDEX('Fontes e Parcerias'!$C$5:$C$500,MATCH(IFERROR(LEFT(E85,FIND(" · ",E85)-1),E85),'Fontes e Parcerias'!$A$5:$A$500,0)),"Fonte não encontrada"))</f>
        <v/>
      </c>
      <c r="G85" s="106"/>
      <c r="H85" s="105"/>
      <c r="I85" s="105"/>
      <c r="J85" s="118"/>
      <c r="K85" s="106"/>
      <c r="L85" s="106"/>
      <c r="M85" s="99" t="str">
        <f aca="false">IF(OR(K85="",L85=""),"",IF((IF(L85="Alto",3,IF(L85="Médio",2,1))-IF(K85="Alto",3,IF(K85="Médio",2,1)))=2,"⚡ Quick win",IF((IF(L85="Alto",3,IF(L85="Médio",2,1))-IF(K85="Alto",3,IF(K85="Médio",2,1)))=1,"🚀 Alto retorno",IF(AND(L85="Alto",K85="Alto"),"🎯 Estratégica",IF((IF(L85="Alto",3,IF(L85="Médio",2,1))-IF(K85="Alto",3,IF(K85="Médio",2,1)))=0,"⚖ Equilibrada","⏳ Baixo retorno")))))</f>
        <v/>
      </c>
      <c r="N85" s="105"/>
      <c r="O85" s="105"/>
      <c r="P85" s="106"/>
      <c r="Q85" s="105"/>
      <c r="R85" s="107"/>
      <c r="S85" s="105"/>
      <c r="T85" s="107"/>
      <c r="U85" s="105"/>
    </row>
    <row r="86" customFormat="false" ht="15" hidden="false" customHeight="false" outlineLevel="0" collapsed="false">
      <c r="A86" s="101" t="s">
        <v>1411</v>
      </c>
      <c r="B86" s="102"/>
      <c r="C86" s="102"/>
      <c r="D86" s="102"/>
      <c r="E86" s="102"/>
      <c r="F86" s="99" t="str">
        <f aca="false">IF(E86="","",IFERROR(INDEX('Fontes e Parcerias'!$C$5:$C$500,MATCH(IFERROR(LEFT(E86,FIND(" · ",E86)-1),E86),'Fontes e Parcerias'!$A$5:$A$500,0)),"Fonte não encontrada"))</f>
        <v/>
      </c>
      <c r="G86" s="103"/>
      <c r="H86" s="102"/>
      <c r="I86" s="102"/>
      <c r="J86" s="117"/>
      <c r="K86" s="103"/>
      <c r="L86" s="103"/>
      <c r="M86" s="99" t="str">
        <f aca="false">IF(OR(K86="",L86=""),"",IF((IF(L86="Alto",3,IF(L86="Médio",2,1))-IF(K86="Alto",3,IF(K86="Médio",2,1)))=2,"⚡ Quick win",IF((IF(L86="Alto",3,IF(L86="Médio",2,1))-IF(K86="Alto",3,IF(K86="Médio",2,1)))=1,"🚀 Alto retorno",IF(AND(L86="Alto",K86="Alto"),"🎯 Estratégica",IF((IF(L86="Alto",3,IF(L86="Médio",2,1))-IF(K86="Alto",3,IF(K86="Médio",2,1)))=0,"⚖ Equilibrada","⏳ Baixo retorno")))))</f>
        <v/>
      </c>
      <c r="N86" s="102"/>
      <c r="O86" s="102"/>
      <c r="P86" s="103"/>
      <c r="Q86" s="102"/>
      <c r="R86" s="104"/>
      <c r="S86" s="102"/>
      <c r="T86" s="104"/>
      <c r="U86" s="102"/>
    </row>
    <row r="87" customFormat="false" ht="15" hidden="false" customHeight="false" outlineLevel="0" collapsed="false">
      <c r="A87" s="93" t="s">
        <v>1412</v>
      </c>
      <c r="B87" s="105"/>
      <c r="C87" s="105"/>
      <c r="D87" s="105"/>
      <c r="E87" s="105"/>
      <c r="F87" s="99" t="str">
        <f aca="false">IF(E87="","",IFERROR(INDEX('Fontes e Parcerias'!$C$5:$C$500,MATCH(IFERROR(LEFT(E87,FIND(" · ",E87)-1),E87),'Fontes e Parcerias'!$A$5:$A$500,0)),"Fonte não encontrada"))</f>
        <v/>
      </c>
      <c r="G87" s="106"/>
      <c r="H87" s="105"/>
      <c r="I87" s="105"/>
      <c r="J87" s="118"/>
      <c r="K87" s="106"/>
      <c r="L87" s="106"/>
      <c r="M87" s="99" t="str">
        <f aca="false">IF(OR(K87="",L87=""),"",IF((IF(L87="Alto",3,IF(L87="Médio",2,1))-IF(K87="Alto",3,IF(K87="Médio",2,1)))=2,"⚡ Quick win",IF((IF(L87="Alto",3,IF(L87="Médio",2,1))-IF(K87="Alto",3,IF(K87="Médio",2,1)))=1,"🚀 Alto retorno",IF(AND(L87="Alto",K87="Alto"),"🎯 Estratégica",IF((IF(L87="Alto",3,IF(L87="Médio",2,1))-IF(K87="Alto",3,IF(K87="Médio",2,1)))=0,"⚖ Equilibrada","⏳ Baixo retorno")))))</f>
        <v/>
      </c>
      <c r="N87" s="105"/>
      <c r="O87" s="105"/>
      <c r="P87" s="106"/>
      <c r="Q87" s="105"/>
      <c r="R87" s="107"/>
      <c r="S87" s="105"/>
      <c r="T87" s="107"/>
      <c r="U87" s="105"/>
    </row>
    <row r="88" customFormat="false" ht="15" hidden="false" customHeight="false" outlineLevel="0" collapsed="false">
      <c r="A88" s="101" t="s">
        <v>1413</v>
      </c>
      <c r="B88" s="102"/>
      <c r="C88" s="102"/>
      <c r="D88" s="102"/>
      <c r="E88" s="102"/>
      <c r="F88" s="99" t="str">
        <f aca="false">IF(E88="","",IFERROR(INDEX('Fontes e Parcerias'!$C$5:$C$500,MATCH(IFERROR(LEFT(E88,FIND(" · ",E88)-1),E88),'Fontes e Parcerias'!$A$5:$A$500,0)),"Fonte não encontrada"))</f>
        <v/>
      </c>
      <c r="G88" s="103"/>
      <c r="H88" s="102"/>
      <c r="I88" s="102"/>
      <c r="J88" s="117"/>
      <c r="K88" s="103"/>
      <c r="L88" s="103"/>
      <c r="M88" s="99" t="str">
        <f aca="false">IF(OR(K88="",L88=""),"",IF((IF(L88="Alto",3,IF(L88="Médio",2,1))-IF(K88="Alto",3,IF(K88="Médio",2,1)))=2,"⚡ Quick win",IF((IF(L88="Alto",3,IF(L88="Médio",2,1))-IF(K88="Alto",3,IF(K88="Médio",2,1)))=1,"🚀 Alto retorno",IF(AND(L88="Alto",K88="Alto"),"🎯 Estratégica",IF((IF(L88="Alto",3,IF(L88="Médio",2,1))-IF(K88="Alto",3,IF(K88="Médio",2,1)))=0,"⚖ Equilibrada","⏳ Baixo retorno")))))</f>
        <v/>
      </c>
      <c r="N88" s="102"/>
      <c r="O88" s="102"/>
      <c r="P88" s="103"/>
      <c r="Q88" s="102"/>
      <c r="R88" s="104"/>
      <c r="S88" s="102"/>
      <c r="T88" s="104"/>
      <c r="U88" s="102"/>
    </row>
    <row r="89" customFormat="false" ht="15" hidden="false" customHeight="false" outlineLevel="0" collapsed="false">
      <c r="A89" s="93" t="s">
        <v>1414</v>
      </c>
      <c r="B89" s="105"/>
      <c r="C89" s="105"/>
      <c r="D89" s="105"/>
      <c r="E89" s="105"/>
      <c r="F89" s="99" t="str">
        <f aca="false">IF(E89="","",IFERROR(INDEX('Fontes e Parcerias'!$C$5:$C$500,MATCH(IFERROR(LEFT(E89,FIND(" · ",E89)-1),E89),'Fontes e Parcerias'!$A$5:$A$500,0)),"Fonte não encontrada"))</f>
        <v/>
      </c>
      <c r="G89" s="106"/>
      <c r="H89" s="105"/>
      <c r="I89" s="105"/>
      <c r="J89" s="118"/>
      <c r="K89" s="106"/>
      <c r="L89" s="106"/>
      <c r="M89" s="99" t="str">
        <f aca="false">IF(OR(K89="",L89=""),"",IF((IF(L89="Alto",3,IF(L89="Médio",2,1))-IF(K89="Alto",3,IF(K89="Médio",2,1)))=2,"⚡ Quick win",IF((IF(L89="Alto",3,IF(L89="Médio",2,1))-IF(K89="Alto",3,IF(K89="Médio",2,1)))=1,"🚀 Alto retorno",IF(AND(L89="Alto",K89="Alto"),"🎯 Estratégica",IF((IF(L89="Alto",3,IF(L89="Médio",2,1))-IF(K89="Alto",3,IF(K89="Médio",2,1)))=0,"⚖ Equilibrada","⏳ Baixo retorno")))))</f>
        <v/>
      </c>
      <c r="N89" s="105"/>
      <c r="O89" s="105"/>
      <c r="P89" s="106"/>
      <c r="Q89" s="105"/>
      <c r="R89" s="107"/>
      <c r="S89" s="105"/>
      <c r="T89" s="107"/>
      <c r="U89" s="105"/>
    </row>
    <row r="90" customFormat="false" ht="15" hidden="false" customHeight="false" outlineLevel="0" collapsed="false">
      <c r="A90" s="101" t="s">
        <v>1415</v>
      </c>
      <c r="B90" s="102"/>
      <c r="C90" s="102"/>
      <c r="D90" s="102"/>
      <c r="E90" s="102"/>
      <c r="F90" s="99" t="str">
        <f aca="false">IF(E90="","",IFERROR(INDEX('Fontes e Parcerias'!$C$5:$C$500,MATCH(IFERROR(LEFT(E90,FIND(" · ",E90)-1),E90),'Fontes e Parcerias'!$A$5:$A$500,0)),"Fonte não encontrada"))</f>
        <v/>
      </c>
      <c r="G90" s="103"/>
      <c r="H90" s="102"/>
      <c r="I90" s="102"/>
      <c r="J90" s="117"/>
      <c r="K90" s="103"/>
      <c r="L90" s="103"/>
      <c r="M90" s="99" t="str">
        <f aca="false">IF(OR(K90="",L90=""),"",IF((IF(L90="Alto",3,IF(L90="Médio",2,1))-IF(K90="Alto",3,IF(K90="Médio",2,1)))=2,"⚡ Quick win",IF((IF(L90="Alto",3,IF(L90="Médio",2,1))-IF(K90="Alto",3,IF(K90="Médio",2,1)))=1,"🚀 Alto retorno",IF(AND(L90="Alto",K90="Alto"),"🎯 Estratégica",IF((IF(L90="Alto",3,IF(L90="Médio",2,1))-IF(K90="Alto",3,IF(K90="Médio",2,1)))=0,"⚖ Equilibrada","⏳ Baixo retorno")))))</f>
        <v/>
      </c>
      <c r="N90" s="102"/>
      <c r="O90" s="102"/>
      <c r="P90" s="103"/>
      <c r="Q90" s="102"/>
      <c r="R90" s="104"/>
      <c r="S90" s="102"/>
      <c r="T90" s="104"/>
      <c r="U90" s="102"/>
    </row>
    <row r="91" customFormat="false" ht="15" hidden="false" customHeight="false" outlineLevel="0" collapsed="false">
      <c r="A91" s="93" t="s">
        <v>1416</v>
      </c>
      <c r="B91" s="105"/>
      <c r="C91" s="105"/>
      <c r="D91" s="105"/>
      <c r="E91" s="105"/>
      <c r="F91" s="99" t="str">
        <f aca="false">IF(E91="","",IFERROR(INDEX('Fontes e Parcerias'!$C$5:$C$500,MATCH(IFERROR(LEFT(E91,FIND(" · ",E91)-1),E91),'Fontes e Parcerias'!$A$5:$A$500,0)),"Fonte não encontrada"))</f>
        <v/>
      </c>
      <c r="G91" s="106"/>
      <c r="H91" s="105"/>
      <c r="I91" s="105"/>
      <c r="J91" s="118"/>
      <c r="K91" s="106"/>
      <c r="L91" s="106"/>
      <c r="M91" s="99" t="str">
        <f aca="false">IF(OR(K91="",L91=""),"",IF((IF(L91="Alto",3,IF(L91="Médio",2,1))-IF(K91="Alto",3,IF(K91="Médio",2,1)))=2,"⚡ Quick win",IF((IF(L91="Alto",3,IF(L91="Médio",2,1))-IF(K91="Alto",3,IF(K91="Médio",2,1)))=1,"🚀 Alto retorno",IF(AND(L91="Alto",K91="Alto"),"🎯 Estratégica",IF((IF(L91="Alto",3,IF(L91="Médio",2,1))-IF(K91="Alto",3,IF(K91="Médio",2,1)))=0,"⚖ Equilibrada","⏳ Baixo retorno")))))</f>
        <v/>
      </c>
      <c r="N91" s="105"/>
      <c r="O91" s="105"/>
      <c r="P91" s="106"/>
      <c r="Q91" s="105"/>
      <c r="R91" s="107"/>
      <c r="S91" s="105"/>
      <c r="T91" s="107"/>
      <c r="U91" s="105"/>
    </row>
    <row r="92" customFormat="false" ht="15" hidden="false" customHeight="false" outlineLevel="0" collapsed="false">
      <c r="A92" s="101" t="s">
        <v>1417</v>
      </c>
      <c r="B92" s="102"/>
      <c r="C92" s="102"/>
      <c r="D92" s="102"/>
      <c r="E92" s="102"/>
      <c r="F92" s="99" t="str">
        <f aca="false">IF(E92="","",IFERROR(INDEX('Fontes e Parcerias'!$C$5:$C$500,MATCH(IFERROR(LEFT(E92,FIND(" · ",E92)-1),E92),'Fontes e Parcerias'!$A$5:$A$500,0)),"Fonte não encontrada"))</f>
        <v/>
      </c>
      <c r="G92" s="103"/>
      <c r="H92" s="102"/>
      <c r="I92" s="102"/>
      <c r="J92" s="117"/>
      <c r="K92" s="103"/>
      <c r="L92" s="103"/>
      <c r="M92" s="99" t="str">
        <f aca="false">IF(OR(K92="",L92=""),"",IF((IF(L92="Alto",3,IF(L92="Médio",2,1))-IF(K92="Alto",3,IF(K92="Médio",2,1)))=2,"⚡ Quick win",IF((IF(L92="Alto",3,IF(L92="Médio",2,1))-IF(K92="Alto",3,IF(K92="Médio",2,1)))=1,"🚀 Alto retorno",IF(AND(L92="Alto",K92="Alto"),"🎯 Estratégica",IF((IF(L92="Alto",3,IF(L92="Médio",2,1))-IF(K92="Alto",3,IF(K92="Médio",2,1)))=0,"⚖ Equilibrada","⏳ Baixo retorno")))))</f>
        <v/>
      </c>
      <c r="N92" s="102"/>
      <c r="O92" s="102"/>
      <c r="P92" s="103"/>
      <c r="Q92" s="102"/>
      <c r="R92" s="104"/>
      <c r="S92" s="102"/>
      <c r="T92" s="104"/>
      <c r="U92" s="102"/>
    </row>
    <row r="93" customFormat="false" ht="15" hidden="false" customHeight="false" outlineLevel="0" collapsed="false">
      <c r="A93" s="93" t="s">
        <v>1418</v>
      </c>
      <c r="B93" s="105"/>
      <c r="C93" s="105"/>
      <c r="D93" s="105"/>
      <c r="E93" s="105"/>
      <c r="F93" s="99" t="str">
        <f aca="false">IF(E93="","",IFERROR(INDEX('Fontes e Parcerias'!$C$5:$C$500,MATCH(IFERROR(LEFT(E93,FIND(" · ",E93)-1),E93),'Fontes e Parcerias'!$A$5:$A$500,0)),"Fonte não encontrada"))</f>
        <v/>
      </c>
      <c r="G93" s="106"/>
      <c r="H93" s="105"/>
      <c r="I93" s="105"/>
      <c r="J93" s="118"/>
      <c r="K93" s="106"/>
      <c r="L93" s="106"/>
      <c r="M93" s="99" t="str">
        <f aca="false">IF(OR(K93="",L93=""),"",IF((IF(L93="Alto",3,IF(L93="Médio",2,1))-IF(K93="Alto",3,IF(K93="Médio",2,1)))=2,"⚡ Quick win",IF((IF(L93="Alto",3,IF(L93="Médio",2,1))-IF(K93="Alto",3,IF(K93="Médio",2,1)))=1,"🚀 Alto retorno",IF(AND(L93="Alto",K93="Alto"),"🎯 Estratégica",IF((IF(L93="Alto",3,IF(L93="Médio",2,1))-IF(K93="Alto",3,IF(K93="Médio",2,1)))=0,"⚖ Equilibrada","⏳ Baixo retorno")))))</f>
        <v/>
      </c>
      <c r="N93" s="105"/>
      <c r="O93" s="105"/>
      <c r="P93" s="106"/>
      <c r="Q93" s="105"/>
      <c r="R93" s="107"/>
      <c r="S93" s="105"/>
      <c r="T93" s="107"/>
      <c r="U93" s="105"/>
    </row>
    <row r="94" customFormat="false" ht="15" hidden="false" customHeight="false" outlineLevel="0" collapsed="false">
      <c r="A94" s="101" t="s">
        <v>1419</v>
      </c>
      <c r="B94" s="102"/>
      <c r="C94" s="102"/>
      <c r="D94" s="102"/>
      <c r="E94" s="102"/>
      <c r="F94" s="99" t="str">
        <f aca="false">IF(E94="","",IFERROR(INDEX('Fontes e Parcerias'!$C$5:$C$500,MATCH(IFERROR(LEFT(E94,FIND(" · ",E94)-1),E94),'Fontes e Parcerias'!$A$5:$A$500,0)),"Fonte não encontrada"))</f>
        <v/>
      </c>
      <c r="G94" s="103"/>
      <c r="H94" s="102"/>
      <c r="I94" s="102"/>
      <c r="J94" s="117"/>
      <c r="K94" s="103"/>
      <c r="L94" s="103"/>
      <c r="M94" s="99" t="str">
        <f aca="false">IF(OR(K94="",L94=""),"",IF((IF(L94="Alto",3,IF(L94="Médio",2,1))-IF(K94="Alto",3,IF(K94="Médio",2,1)))=2,"⚡ Quick win",IF((IF(L94="Alto",3,IF(L94="Médio",2,1))-IF(K94="Alto",3,IF(K94="Médio",2,1)))=1,"🚀 Alto retorno",IF(AND(L94="Alto",K94="Alto"),"🎯 Estratégica",IF((IF(L94="Alto",3,IF(L94="Médio",2,1))-IF(K94="Alto",3,IF(K94="Médio",2,1)))=0,"⚖ Equilibrada","⏳ Baixo retorno")))))</f>
        <v/>
      </c>
      <c r="N94" s="102"/>
      <c r="O94" s="102"/>
      <c r="P94" s="103"/>
      <c r="Q94" s="102"/>
      <c r="R94" s="104"/>
      <c r="S94" s="102"/>
      <c r="T94" s="104"/>
      <c r="U94" s="102"/>
    </row>
    <row r="95" customFormat="false" ht="15" hidden="false" customHeight="false" outlineLevel="0" collapsed="false">
      <c r="A95" s="93" t="s">
        <v>1420</v>
      </c>
      <c r="B95" s="105"/>
      <c r="C95" s="105"/>
      <c r="D95" s="105"/>
      <c r="E95" s="105"/>
      <c r="F95" s="99" t="str">
        <f aca="false">IF(E95="","",IFERROR(INDEX('Fontes e Parcerias'!$C$5:$C$500,MATCH(IFERROR(LEFT(E95,FIND(" · ",E95)-1),E95),'Fontes e Parcerias'!$A$5:$A$500,0)),"Fonte não encontrada"))</f>
        <v/>
      </c>
      <c r="G95" s="106"/>
      <c r="H95" s="105"/>
      <c r="I95" s="105"/>
      <c r="J95" s="118"/>
      <c r="K95" s="106"/>
      <c r="L95" s="106"/>
      <c r="M95" s="99" t="str">
        <f aca="false">IF(OR(K95="",L95=""),"",IF((IF(L95="Alto",3,IF(L95="Médio",2,1))-IF(K95="Alto",3,IF(K95="Médio",2,1)))=2,"⚡ Quick win",IF((IF(L95="Alto",3,IF(L95="Médio",2,1))-IF(K95="Alto",3,IF(K95="Médio",2,1)))=1,"🚀 Alto retorno",IF(AND(L95="Alto",K95="Alto"),"🎯 Estratégica",IF((IF(L95="Alto",3,IF(L95="Médio",2,1))-IF(K95="Alto",3,IF(K95="Médio",2,1)))=0,"⚖ Equilibrada","⏳ Baixo retorno")))))</f>
        <v/>
      </c>
      <c r="N95" s="105"/>
      <c r="O95" s="105"/>
      <c r="P95" s="106"/>
      <c r="Q95" s="105"/>
      <c r="R95" s="107"/>
      <c r="S95" s="105"/>
      <c r="T95" s="107"/>
      <c r="U95" s="105"/>
    </row>
    <row r="96" customFormat="false" ht="15" hidden="false" customHeight="false" outlineLevel="0" collapsed="false">
      <c r="A96" s="101" t="s">
        <v>1421</v>
      </c>
      <c r="B96" s="102"/>
      <c r="C96" s="102"/>
      <c r="D96" s="102"/>
      <c r="E96" s="102"/>
      <c r="F96" s="99" t="str">
        <f aca="false">IF(E96="","",IFERROR(INDEX('Fontes e Parcerias'!$C$5:$C$500,MATCH(IFERROR(LEFT(E96,FIND(" · ",E96)-1),E96),'Fontes e Parcerias'!$A$5:$A$500,0)),"Fonte não encontrada"))</f>
        <v/>
      </c>
      <c r="G96" s="103"/>
      <c r="H96" s="102"/>
      <c r="I96" s="102"/>
      <c r="J96" s="117"/>
      <c r="K96" s="103"/>
      <c r="L96" s="103"/>
      <c r="M96" s="99" t="str">
        <f aca="false">IF(OR(K96="",L96=""),"",IF((IF(L96="Alto",3,IF(L96="Médio",2,1))-IF(K96="Alto",3,IF(K96="Médio",2,1)))=2,"⚡ Quick win",IF((IF(L96="Alto",3,IF(L96="Médio",2,1))-IF(K96="Alto",3,IF(K96="Médio",2,1)))=1,"🚀 Alto retorno",IF(AND(L96="Alto",K96="Alto"),"🎯 Estratégica",IF((IF(L96="Alto",3,IF(L96="Médio",2,1))-IF(K96="Alto",3,IF(K96="Médio",2,1)))=0,"⚖ Equilibrada","⏳ Baixo retorno")))))</f>
        <v/>
      </c>
      <c r="N96" s="102"/>
      <c r="O96" s="102"/>
      <c r="P96" s="103"/>
      <c r="Q96" s="102"/>
      <c r="R96" s="104"/>
      <c r="S96" s="102"/>
      <c r="T96" s="104"/>
      <c r="U96" s="102"/>
    </row>
    <row r="97" customFormat="false" ht="15" hidden="false" customHeight="false" outlineLevel="0" collapsed="false">
      <c r="A97" s="93" t="s">
        <v>1422</v>
      </c>
      <c r="B97" s="105"/>
      <c r="C97" s="105"/>
      <c r="D97" s="105"/>
      <c r="E97" s="105"/>
      <c r="F97" s="99" t="str">
        <f aca="false">IF(E97="","",IFERROR(INDEX('Fontes e Parcerias'!$C$5:$C$500,MATCH(IFERROR(LEFT(E97,FIND(" · ",E97)-1),E97),'Fontes e Parcerias'!$A$5:$A$500,0)),"Fonte não encontrada"))</f>
        <v/>
      </c>
      <c r="G97" s="106"/>
      <c r="H97" s="105"/>
      <c r="I97" s="105"/>
      <c r="J97" s="118"/>
      <c r="K97" s="106"/>
      <c r="L97" s="106"/>
      <c r="M97" s="99" t="str">
        <f aca="false">IF(OR(K97="",L97=""),"",IF((IF(L97="Alto",3,IF(L97="Médio",2,1))-IF(K97="Alto",3,IF(K97="Médio",2,1)))=2,"⚡ Quick win",IF((IF(L97="Alto",3,IF(L97="Médio",2,1))-IF(K97="Alto",3,IF(K97="Médio",2,1)))=1,"🚀 Alto retorno",IF(AND(L97="Alto",K97="Alto"),"🎯 Estratégica",IF((IF(L97="Alto",3,IF(L97="Médio",2,1))-IF(K97="Alto",3,IF(K97="Médio",2,1)))=0,"⚖ Equilibrada","⏳ Baixo retorno")))))</f>
        <v/>
      </c>
      <c r="N97" s="105"/>
      <c r="O97" s="105"/>
      <c r="P97" s="106"/>
      <c r="Q97" s="105"/>
      <c r="R97" s="107"/>
      <c r="S97" s="105"/>
      <c r="T97" s="107"/>
      <c r="U97" s="105"/>
    </row>
    <row r="98" customFormat="false" ht="15" hidden="false" customHeight="false" outlineLevel="0" collapsed="false">
      <c r="A98" s="101" t="s">
        <v>1423</v>
      </c>
      <c r="B98" s="102"/>
      <c r="C98" s="102"/>
      <c r="D98" s="102"/>
      <c r="E98" s="102"/>
      <c r="F98" s="99" t="str">
        <f aca="false">IF(E98="","",IFERROR(INDEX('Fontes e Parcerias'!$C$5:$C$500,MATCH(IFERROR(LEFT(E98,FIND(" · ",E98)-1),E98),'Fontes e Parcerias'!$A$5:$A$500,0)),"Fonte não encontrada"))</f>
        <v/>
      </c>
      <c r="G98" s="103"/>
      <c r="H98" s="102"/>
      <c r="I98" s="102"/>
      <c r="J98" s="117"/>
      <c r="K98" s="103"/>
      <c r="L98" s="103"/>
      <c r="M98" s="99" t="str">
        <f aca="false">IF(OR(K98="",L98=""),"",IF((IF(L98="Alto",3,IF(L98="Médio",2,1))-IF(K98="Alto",3,IF(K98="Médio",2,1)))=2,"⚡ Quick win",IF((IF(L98="Alto",3,IF(L98="Médio",2,1))-IF(K98="Alto",3,IF(K98="Médio",2,1)))=1,"🚀 Alto retorno",IF(AND(L98="Alto",K98="Alto"),"🎯 Estratégica",IF((IF(L98="Alto",3,IF(L98="Médio",2,1))-IF(K98="Alto",3,IF(K98="Médio",2,1)))=0,"⚖ Equilibrada","⏳ Baixo retorno")))))</f>
        <v/>
      </c>
      <c r="N98" s="102"/>
      <c r="O98" s="102"/>
      <c r="P98" s="103"/>
      <c r="Q98" s="102"/>
      <c r="R98" s="104"/>
      <c r="S98" s="102"/>
      <c r="T98" s="104"/>
      <c r="U98" s="102"/>
    </row>
    <row r="99" customFormat="false" ht="15" hidden="false" customHeight="false" outlineLevel="0" collapsed="false">
      <c r="A99" s="93" t="s">
        <v>1424</v>
      </c>
      <c r="B99" s="105"/>
      <c r="C99" s="105"/>
      <c r="D99" s="105"/>
      <c r="E99" s="105"/>
      <c r="F99" s="99" t="str">
        <f aca="false">IF(E99="","",IFERROR(INDEX('Fontes e Parcerias'!$C$5:$C$500,MATCH(IFERROR(LEFT(E99,FIND(" · ",E99)-1),E99),'Fontes e Parcerias'!$A$5:$A$500,0)),"Fonte não encontrada"))</f>
        <v/>
      </c>
      <c r="G99" s="106"/>
      <c r="H99" s="105"/>
      <c r="I99" s="105"/>
      <c r="J99" s="118"/>
      <c r="K99" s="106"/>
      <c r="L99" s="106"/>
      <c r="M99" s="99" t="str">
        <f aca="false">IF(OR(K99="",L99=""),"",IF((IF(L99="Alto",3,IF(L99="Médio",2,1))-IF(K99="Alto",3,IF(K99="Médio",2,1)))=2,"⚡ Quick win",IF((IF(L99="Alto",3,IF(L99="Médio",2,1))-IF(K99="Alto",3,IF(K99="Médio",2,1)))=1,"🚀 Alto retorno",IF(AND(L99="Alto",K99="Alto"),"🎯 Estratégica",IF((IF(L99="Alto",3,IF(L99="Médio",2,1))-IF(K99="Alto",3,IF(K99="Médio",2,1)))=0,"⚖ Equilibrada","⏳ Baixo retorno")))))</f>
        <v/>
      </c>
      <c r="N99" s="105"/>
      <c r="O99" s="105"/>
      <c r="P99" s="106"/>
      <c r="Q99" s="105"/>
      <c r="R99" s="107"/>
      <c r="S99" s="105"/>
      <c r="T99" s="107"/>
      <c r="U99" s="105"/>
    </row>
    <row r="100" customFormat="false" ht="15" hidden="false" customHeight="false" outlineLevel="0" collapsed="false">
      <c r="A100" s="101" t="s">
        <v>1425</v>
      </c>
      <c r="B100" s="102"/>
      <c r="C100" s="102"/>
      <c r="D100" s="102"/>
      <c r="E100" s="102"/>
      <c r="F100" s="99" t="str">
        <f aca="false">IF(E100="","",IFERROR(INDEX('Fontes e Parcerias'!$C$5:$C$500,MATCH(IFERROR(LEFT(E100,FIND(" · ",E100)-1),E100),'Fontes e Parcerias'!$A$5:$A$500,0)),"Fonte não encontrada"))</f>
        <v/>
      </c>
      <c r="G100" s="103"/>
      <c r="H100" s="102"/>
      <c r="I100" s="102"/>
      <c r="J100" s="117"/>
      <c r="K100" s="103"/>
      <c r="L100" s="103"/>
      <c r="M100" s="99" t="str">
        <f aca="false">IF(OR(K100="",L100=""),"",IF((IF(L100="Alto",3,IF(L100="Médio",2,1))-IF(K100="Alto",3,IF(K100="Médio",2,1)))=2,"⚡ Quick win",IF((IF(L100="Alto",3,IF(L100="Médio",2,1))-IF(K100="Alto",3,IF(K100="Médio",2,1)))=1,"🚀 Alto retorno",IF(AND(L100="Alto",K100="Alto"),"🎯 Estratégica",IF((IF(L100="Alto",3,IF(L100="Médio",2,1))-IF(K100="Alto",3,IF(K100="Médio",2,1)))=0,"⚖ Equilibrada","⏳ Baixo retorno")))))</f>
        <v/>
      </c>
      <c r="N100" s="102"/>
      <c r="O100" s="102"/>
      <c r="P100" s="103"/>
      <c r="Q100" s="102"/>
      <c r="R100" s="104"/>
      <c r="S100" s="102"/>
      <c r="T100" s="104"/>
      <c r="U100" s="102"/>
    </row>
    <row r="101" customFormat="false" ht="15" hidden="false" customHeight="false" outlineLevel="0" collapsed="false">
      <c r="A101" s="93" t="s">
        <v>1426</v>
      </c>
      <c r="B101" s="105"/>
      <c r="C101" s="105"/>
      <c r="D101" s="105"/>
      <c r="E101" s="105"/>
      <c r="F101" s="99" t="str">
        <f aca="false">IF(E101="","",IFERROR(INDEX('Fontes e Parcerias'!$C$5:$C$500,MATCH(IFERROR(LEFT(E101,FIND(" · ",E101)-1),E101),'Fontes e Parcerias'!$A$5:$A$500,0)),"Fonte não encontrada"))</f>
        <v/>
      </c>
      <c r="G101" s="106"/>
      <c r="H101" s="105"/>
      <c r="I101" s="105"/>
      <c r="J101" s="118"/>
      <c r="K101" s="106"/>
      <c r="L101" s="106"/>
      <c r="M101" s="99" t="str">
        <f aca="false">IF(OR(K101="",L101=""),"",IF((IF(L101="Alto",3,IF(L101="Médio",2,1))-IF(K101="Alto",3,IF(K101="Médio",2,1)))=2,"⚡ Quick win",IF((IF(L101="Alto",3,IF(L101="Médio",2,1))-IF(K101="Alto",3,IF(K101="Médio",2,1)))=1,"🚀 Alto retorno",IF(AND(L101="Alto",K101="Alto"),"🎯 Estratégica",IF((IF(L101="Alto",3,IF(L101="Médio",2,1))-IF(K101="Alto",3,IF(K101="Médio",2,1)))=0,"⚖ Equilibrada","⏳ Baixo retorno")))))</f>
        <v/>
      </c>
      <c r="N101" s="105"/>
      <c r="O101" s="105"/>
      <c r="P101" s="106"/>
      <c r="Q101" s="105"/>
      <c r="R101" s="107"/>
      <c r="S101" s="105"/>
      <c r="T101" s="107"/>
      <c r="U101" s="105"/>
    </row>
    <row r="102" customFormat="false" ht="15" hidden="false" customHeight="false" outlineLevel="0" collapsed="false">
      <c r="A102" s="101" t="s">
        <v>1427</v>
      </c>
      <c r="B102" s="102"/>
      <c r="C102" s="102"/>
      <c r="D102" s="102"/>
      <c r="E102" s="102"/>
      <c r="F102" s="99" t="str">
        <f aca="false">IF(E102="","",IFERROR(INDEX('Fontes e Parcerias'!$C$5:$C$500,MATCH(IFERROR(LEFT(E102,FIND(" · ",E102)-1),E102),'Fontes e Parcerias'!$A$5:$A$500,0)),"Fonte não encontrada"))</f>
        <v/>
      </c>
      <c r="G102" s="103"/>
      <c r="H102" s="102"/>
      <c r="I102" s="102"/>
      <c r="J102" s="117"/>
      <c r="K102" s="103"/>
      <c r="L102" s="103"/>
      <c r="M102" s="99" t="str">
        <f aca="false">IF(OR(K102="",L102=""),"",IF((IF(L102="Alto",3,IF(L102="Médio",2,1))-IF(K102="Alto",3,IF(K102="Médio",2,1)))=2,"⚡ Quick win",IF((IF(L102="Alto",3,IF(L102="Médio",2,1))-IF(K102="Alto",3,IF(K102="Médio",2,1)))=1,"🚀 Alto retorno",IF(AND(L102="Alto",K102="Alto"),"🎯 Estratégica",IF((IF(L102="Alto",3,IF(L102="Médio",2,1))-IF(K102="Alto",3,IF(K102="Médio",2,1)))=0,"⚖ Equilibrada","⏳ Baixo retorno")))))</f>
        <v/>
      </c>
      <c r="N102" s="102"/>
      <c r="O102" s="102"/>
      <c r="P102" s="103"/>
      <c r="Q102" s="102"/>
      <c r="R102" s="104"/>
      <c r="S102" s="102"/>
      <c r="T102" s="104"/>
      <c r="U102" s="102"/>
    </row>
    <row r="103" customFormat="false" ht="15" hidden="false" customHeight="false" outlineLevel="0" collapsed="false">
      <c r="A103" s="93" t="s">
        <v>1428</v>
      </c>
      <c r="B103" s="105"/>
      <c r="C103" s="105"/>
      <c r="D103" s="105"/>
      <c r="E103" s="105"/>
      <c r="F103" s="99" t="str">
        <f aca="false">IF(E103="","",IFERROR(INDEX('Fontes e Parcerias'!$C$5:$C$500,MATCH(IFERROR(LEFT(E103,FIND(" · ",E103)-1),E103),'Fontes e Parcerias'!$A$5:$A$500,0)),"Fonte não encontrada"))</f>
        <v/>
      </c>
      <c r="G103" s="106"/>
      <c r="H103" s="105"/>
      <c r="I103" s="105"/>
      <c r="J103" s="118"/>
      <c r="K103" s="106"/>
      <c r="L103" s="106"/>
      <c r="M103" s="99" t="str">
        <f aca="false">IF(OR(K103="",L103=""),"",IF((IF(L103="Alto",3,IF(L103="Médio",2,1))-IF(K103="Alto",3,IF(K103="Médio",2,1)))=2,"⚡ Quick win",IF((IF(L103="Alto",3,IF(L103="Médio",2,1))-IF(K103="Alto",3,IF(K103="Médio",2,1)))=1,"🚀 Alto retorno",IF(AND(L103="Alto",K103="Alto"),"🎯 Estratégica",IF((IF(L103="Alto",3,IF(L103="Médio",2,1))-IF(K103="Alto",3,IF(K103="Médio",2,1)))=0,"⚖ Equilibrada","⏳ Baixo retorno")))))</f>
        <v/>
      </c>
      <c r="N103" s="105"/>
      <c r="O103" s="105"/>
      <c r="P103" s="106"/>
      <c r="Q103" s="105"/>
      <c r="R103" s="107"/>
      <c r="S103" s="105"/>
      <c r="T103" s="107"/>
      <c r="U103" s="105"/>
    </row>
    <row r="104" customFormat="false" ht="15" hidden="false" customHeight="false" outlineLevel="0" collapsed="false">
      <c r="A104" s="101" t="s">
        <v>1429</v>
      </c>
      <c r="B104" s="102"/>
      <c r="C104" s="102"/>
      <c r="D104" s="102"/>
      <c r="E104" s="102"/>
      <c r="F104" s="99" t="str">
        <f aca="false">IF(E104="","",IFERROR(INDEX('Fontes e Parcerias'!$C$5:$C$500,MATCH(IFERROR(LEFT(E104,FIND(" · ",E104)-1),E104),'Fontes e Parcerias'!$A$5:$A$500,0)),"Fonte não encontrada"))</f>
        <v/>
      </c>
      <c r="G104" s="103"/>
      <c r="H104" s="102"/>
      <c r="I104" s="102"/>
      <c r="J104" s="117"/>
      <c r="K104" s="103"/>
      <c r="L104" s="103"/>
      <c r="M104" s="99" t="str">
        <f aca="false">IF(OR(K104="",L104=""),"",IF((IF(L104="Alto",3,IF(L104="Médio",2,1))-IF(K104="Alto",3,IF(K104="Médio",2,1)))=2,"⚡ Quick win",IF((IF(L104="Alto",3,IF(L104="Médio",2,1))-IF(K104="Alto",3,IF(K104="Médio",2,1)))=1,"🚀 Alto retorno",IF(AND(L104="Alto",K104="Alto"),"🎯 Estratégica",IF((IF(L104="Alto",3,IF(L104="Médio",2,1))-IF(K104="Alto",3,IF(K104="Médio",2,1)))=0,"⚖ Equilibrada","⏳ Baixo retorno")))))</f>
        <v/>
      </c>
      <c r="N104" s="102"/>
      <c r="O104" s="102"/>
      <c r="P104" s="103"/>
      <c r="Q104" s="102"/>
      <c r="R104" s="104"/>
      <c r="S104" s="102"/>
      <c r="T104" s="104"/>
      <c r="U104" s="102"/>
    </row>
  </sheetData>
  <autoFilter ref="A4:U104"/>
  <mergeCells count="7">
    <mergeCell ref="A3:D3"/>
    <mergeCell ref="E3:G3"/>
    <mergeCell ref="H3:J3"/>
    <mergeCell ref="K3:M3"/>
    <mergeCell ref="N3:O3"/>
    <mergeCell ref="P3:R3"/>
    <mergeCell ref="S3:U3"/>
  </mergeCells>
  <conditionalFormatting sqref="A5:A500">
    <cfRule type="expression" priority="2" aboveAverage="0" equalAverage="0" bottom="0" percent="0" rank="0" text="" dxfId="13">
      <formula>$B5&lt;&gt;""</formula>
    </cfRule>
  </conditionalFormatting>
  <conditionalFormatting sqref="P5:P500">
    <cfRule type="expression" priority="3" aboveAverage="0" equalAverage="0" bottom="0" percent="0" rank="0" text="" dxfId="14">
      <formula>$P5="Implantada"</formula>
    </cfRule>
    <cfRule type="expression" priority="4" aboveAverage="0" equalAverage="0" bottom="0" percent="0" rank="0" text="" dxfId="15">
      <formula>$P5="Em implantação"</formula>
    </cfRule>
    <cfRule type="expression" priority="5" aboveAverage="0" equalAverage="0" bottom="0" percent="0" rank="0" text="" dxfId="16">
      <formula>$P5="Aprovada"</formula>
    </cfRule>
    <cfRule type="expression" priority="6" aboveAverage="0" equalAverage="0" bottom="0" percent="0" rank="0" text="" dxfId="17">
      <formula>$P5="Em análise"</formula>
    </cfRule>
    <cfRule type="expression" priority="7" aboveAverage="0" equalAverage="0" bottom="0" percent="0" rank="0" text="" dxfId="31">
      <formula>$P5="Ideia"</formula>
    </cfRule>
    <cfRule type="expression" priority="8" aboveAverage="0" equalAverage="0" bottom="0" percent="0" rank="0" text="" dxfId="18">
      <formula>$P5="Descartada"</formula>
    </cfRule>
  </conditionalFormatting>
  <conditionalFormatting sqref="M5:M500">
    <cfRule type="expression" priority="9" aboveAverage="0" equalAverage="0" bottom="0" percent="0" rank="0" text="" dxfId="14">
      <formula>ISNUMBER(SEARCH("Quick win",$M5))</formula>
    </cfRule>
    <cfRule type="expression" priority="10" aboveAverage="0" equalAverage="0" bottom="0" percent="0" rank="0" text="" dxfId="29">
      <formula>ISNUMBER(SEARCH("Alto retorno",$M5))</formula>
    </cfRule>
    <cfRule type="expression" priority="11" aboveAverage="0" equalAverage="0" bottom="0" percent="0" rank="0" text="" dxfId="34">
      <formula>ISNUMBER(SEARCH("Estratégica",$M5))</formula>
    </cfRule>
    <cfRule type="expression" priority="12" aboveAverage="0" equalAverage="0" bottom="0" percent="0" rank="0" text="" dxfId="28">
      <formula>ISNUMBER(SEARCH("Equilibrada",$M5))</formula>
    </cfRule>
    <cfRule type="expression" priority="13" aboveAverage="0" equalAverage="0" bottom="0" percent="0" rank="0" text="" dxfId="35">
      <formula>ISNUMBER(SEARCH("Baixo retorno",$M5))</formula>
    </cfRule>
  </conditionalFormatting>
  <conditionalFormatting sqref="K5:K500">
    <cfRule type="expression" priority="14" aboveAverage="0" equalAverage="0" bottom="0" percent="0" rank="0" text="" dxfId="16">
      <formula>$K5="Baixo"</formula>
    </cfRule>
    <cfRule type="expression" priority="15" aboveAverage="0" equalAverage="0" bottom="0" percent="0" rank="0" text="" dxfId="17">
      <formula>$K5="Médio"</formula>
    </cfRule>
    <cfRule type="expression" priority="16" aboveAverage="0" equalAverage="0" bottom="0" percent="0" rank="0" text="" dxfId="30">
      <formula>$K5="Alto"</formula>
    </cfRule>
  </conditionalFormatting>
  <conditionalFormatting sqref="L5:L500">
    <cfRule type="expression" priority="17" aboveAverage="0" equalAverage="0" bottom="0" percent="0" rank="0" text="" dxfId="16">
      <formula>$L5="Alto"</formula>
    </cfRule>
    <cfRule type="expression" priority="18" aboveAverage="0" equalAverage="0" bottom="0" percent="0" rank="0" text="" dxfId="17">
      <formula>$L5="Médio"</formula>
    </cfRule>
    <cfRule type="expression" priority="19" aboveAverage="0" equalAverage="0" bottom="0" percent="0" rank="0" text="" dxfId="36">
      <formula>$L5="Baixo"</formula>
    </cfRule>
  </conditionalFormatting>
  <conditionalFormatting sqref="F5:F500">
    <cfRule type="expression" priority="20" aboveAverage="0" equalAverage="0" bottom="0" percent="0" rank="0" text="" dxfId="0">
      <formula>$F5="Fonte não encontrada"</formula>
    </cfRule>
  </conditionalFormatting>
  <conditionalFormatting sqref="R5:R500">
    <cfRule type="expression" priority="21" aboveAverage="0" equalAverage="0" bottom="0" percent="0" rank="0" text="" dxfId="0">
      <formula>AND($R5&lt;&gt;"",$R5&lt;TODAY(),$P5&lt;&gt;"Implantada",$P5&lt;&gt;"Descartada")</formula>
    </cfRule>
  </conditionalFormatting>
  <dataValidations count="8">
    <dataValidation allowBlank="true" error="Digite uma data válida no formato dd/mm/aaaa." errorStyle="stop" errorTitle="Data inválida" operator="greaterThan" showDropDown="false" showErrorMessage="true" showInputMessage="false" sqref="R5:R500 T5:T500" type="date">
      <formula1>36526</formula1>
      <formula2>0</formula2>
    </dataValidation>
    <dataValidation allowBlank="true" error="Digite um valor numérico maior ou igual a zero (ex.: 350 ou 0)." errorStyle="stop" errorTitle="Valor inválido" operator="greaterThanOrEqual" showDropDown="false" showErrorMessage="true" showInputMessage="false" sqref="J5:J500" type="decimal">
      <formula1>0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C5:C500" type="list">
      <formula1>lst_Prob_INO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lst_Fontes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G5:G500" type="list">
      <formula1>lst_ComoDescobrimos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K5:K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P5:P500" type="list">
      <formula1>lst_StatusSolucao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A00"/>
    <pageSetUpPr fitToPage="true"/>
  </sheetPr>
  <dimension ref="A1:R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.51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5" min="5" style="0" width="17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34"/>
    <col collapsed="false" customWidth="true" hidden="false" outlineLevel="0" max="12" min="12" style="0" width="22"/>
    <col collapsed="false" customWidth="true" hidden="false" outlineLevel="0" max="13" min="13" style="0" width="17"/>
    <col collapsed="false" customWidth="true" hidden="false" outlineLevel="0" max="15" min="14" style="0" width="12"/>
    <col collapsed="false" customWidth="true" hidden="false" outlineLevel="0" max="16" min="16" style="0" width="17"/>
    <col collapsed="false" customWidth="true" hidden="false" outlineLevel="0" max="17" min="17" style="0" width="34"/>
    <col collapsed="false" customWidth="true" hidden="true" outlineLevel="1" max="18" min="18" style="0" width="30"/>
  </cols>
  <sheetData>
    <row r="1" customFormat="false" ht="31.5" hidden="false" customHeight="true" outlineLevel="0" collapsed="false">
      <c r="A1" s="83" t="s">
        <v>1430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131" t="s">
        <v>70</v>
      </c>
      <c r="B2" s="132" t="str">
        <f aca="false">"Problemas que o CEMP tem ou pode ter em: Sensibilizando (escolas)   ·   "&amp;COUNTA(B5:B500)&amp;" registro(s)"</f>
        <v>Problemas que o CEMP tem ou pode ter em: Sensibilizando (escolas)   ·   1 registro(s)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</row>
    <row r="3" customFormat="false" ht="16.5" hidden="false" customHeight="true" outlineLevel="0" collapsed="false">
      <c r="A3" s="87" t="s">
        <v>520</v>
      </c>
      <c r="B3" s="87"/>
      <c r="C3" s="87"/>
      <c r="D3" s="87"/>
      <c r="E3" s="87"/>
      <c r="F3" s="87"/>
      <c r="G3" s="88" t="s">
        <v>521</v>
      </c>
      <c r="H3" s="88"/>
      <c r="I3" s="88"/>
      <c r="J3" s="88"/>
      <c r="K3" s="89" t="s">
        <v>522</v>
      </c>
      <c r="L3" s="89"/>
      <c r="M3" s="89"/>
      <c r="N3" s="89"/>
      <c r="O3" s="90" t="s">
        <v>523</v>
      </c>
      <c r="P3" s="90"/>
      <c r="Q3" s="90"/>
      <c r="R3" s="90"/>
    </row>
    <row r="4" customFormat="false" ht="42" hidden="false" customHeight="true" outlineLevel="0" collapsed="false">
      <c r="A4" s="134" t="s">
        <v>118</v>
      </c>
      <c r="B4" s="134" t="s">
        <v>524</v>
      </c>
      <c r="C4" s="134" t="s">
        <v>525</v>
      </c>
      <c r="D4" s="134" t="s">
        <v>526</v>
      </c>
      <c r="E4" s="134" t="s">
        <v>527</v>
      </c>
      <c r="F4" s="134" t="s">
        <v>528</v>
      </c>
      <c r="G4" s="134" t="s">
        <v>529</v>
      </c>
      <c r="H4" s="134" t="s">
        <v>530</v>
      </c>
      <c r="I4" s="92" t="s">
        <v>531</v>
      </c>
      <c r="J4" s="92" t="s">
        <v>532</v>
      </c>
      <c r="K4" s="134" t="s">
        <v>533</v>
      </c>
      <c r="L4" s="134" t="s">
        <v>534</v>
      </c>
      <c r="M4" s="134" t="s">
        <v>97</v>
      </c>
      <c r="N4" s="92" t="s">
        <v>535</v>
      </c>
      <c r="O4" s="134" t="s">
        <v>536</v>
      </c>
      <c r="P4" s="134" t="s">
        <v>537</v>
      </c>
      <c r="Q4" s="134" t="s">
        <v>538</v>
      </c>
      <c r="R4" s="92" t="s">
        <v>136</v>
      </c>
    </row>
    <row r="5" customFormat="false" ht="23.85" hidden="false" customHeight="false" outlineLevel="0" collapsed="false">
      <c r="A5" s="93" t="s">
        <v>1431</v>
      </c>
      <c r="B5" s="94" t="s">
        <v>1432</v>
      </c>
      <c r="C5" s="94" t="s">
        <v>1433</v>
      </c>
      <c r="D5" s="94" t="s">
        <v>1434</v>
      </c>
      <c r="E5" s="95" t="s">
        <v>80</v>
      </c>
      <c r="F5" s="94" t="s">
        <v>1435</v>
      </c>
      <c r="G5" s="95" t="n">
        <v>3</v>
      </c>
      <c r="H5" s="95" t="n">
        <v>3</v>
      </c>
      <c r="I5" s="96" t="n">
        <f aca="false">IF(OR(G5="",H5=""),"",G5*H5)</f>
        <v>9</v>
      </c>
      <c r="J5" s="99" t="str">
        <f aca="false">IF(I5="","",IF(I5&gt;=15,"Crítica",IF(I5&gt;=9,"Alta",IF(I5&gt;=4,"Média","Baixa"))))</f>
        <v>Alta</v>
      </c>
      <c r="K5" s="94" t="s">
        <v>1436</v>
      </c>
      <c r="L5" s="94" t="s">
        <v>791</v>
      </c>
      <c r="M5" s="95" t="s">
        <v>100</v>
      </c>
      <c r="N5" s="96" t="n">
        <f aca="false">IF(B5="","",COUNTIF('Sensibilizando - Soluções'!$C$5:$C$500,A5&amp;"*"))</f>
        <v>1</v>
      </c>
      <c r="O5" s="98" t="n">
        <v>46293</v>
      </c>
      <c r="P5" s="94" t="s">
        <v>547</v>
      </c>
      <c r="Q5" s="94" t="s">
        <v>548</v>
      </c>
      <c r="R5" s="100" t="str">
        <f aca="false">IF(B5="","",A5&amp;" · "&amp;B5)</f>
        <v>SEN-P001 · [EXEMPLO] Dificuldade de agendar atividades com escolas</v>
      </c>
    </row>
    <row r="6" customFormat="false" ht="15" hidden="false" customHeight="false" outlineLevel="0" collapsed="false">
      <c r="A6" s="101" t="s">
        <v>1437</v>
      </c>
      <c r="B6" s="102"/>
      <c r="C6" s="102"/>
      <c r="D6" s="102"/>
      <c r="E6" s="103"/>
      <c r="F6" s="102"/>
      <c r="G6" s="103"/>
      <c r="H6" s="103"/>
      <c r="I6" s="96" t="str">
        <f aca="false">IF(OR(G6="",H6=""),"",G6*H6)</f>
        <v/>
      </c>
      <c r="J6" s="99" t="str">
        <f aca="false">IF(I6="","",IF(I6&gt;=15,"Crítica",IF(I6&gt;=9,"Alta",IF(I6&gt;=4,"Média","Baixa"))))</f>
        <v/>
      </c>
      <c r="K6" s="102"/>
      <c r="L6" s="102"/>
      <c r="M6" s="103"/>
      <c r="N6" s="96" t="str">
        <f aca="false">IF(B6="","",COUNTIF('Sensibilizando - Soluções'!$C$5:$C$500,A6&amp;"*"))</f>
        <v/>
      </c>
      <c r="O6" s="104"/>
      <c r="P6" s="102"/>
      <c r="Q6" s="102"/>
      <c r="R6" s="100" t="str">
        <f aca="false">IF(B6="","",A6&amp;" · "&amp;B6)</f>
        <v/>
      </c>
    </row>
    <row r="7" customFormat="false" ht="15" hidden="false" customHeight="false" outlineLevel="0" collapsed="false">
      <c r="A7" s="93" t="s">
        <v>1438</v>
      </c>
      <c r="B7" s="105"/>
      <c r="C7" s="105"/>
      <c r="D7" s="105"/>
      <c r="E7" s="106"/>
      <c r="F7" s="105"/>
      <c r="G7" s="106"/>
      <c r="H7" s="106"/>
      <c r="I7" s="96" t="str">
        <f aca="false">IF(OR(G7="",H7=""),"",G7*H7)</f>
        <v/>
      </c>
      <c r="J7" s="99" t="str">
        <f aca="false">IF(I7="","",IF(I7&gt;=15,"Crítica",IF(I7&gt;=9,"Alta",IF(I7&gt;=4,"Média","Baixa"))))</f>
        <v/>
      </c>
      <c r="K7" s="105"/>
      <c r="L7" s="105"/>
      <c r="M7" s="106"/>
      <c r="N7" s="96" t="str">
        <f aca="false">IF(B7="","",COUNTIF('Sensibilizando - Soluções'!$C$5:$C$500,A7&amp;"*"))</f>
        <v/>
      </c>
      <c r="O7" s="107"/>
      <c r="P7" s="105"/>
      <c r="Q7" s="105"/>
      <c r="R7" s="100" t="str">
        <f aca="false">IF(B7="","",A7&amp;" · "&amp;B7)</f>
        <v/>
      </c>
    </row>
    <row r="8" customFormat="false" ht="15" hidden="false" customHeight="false" outlineLevel="0" collapsed="false">
      <c r="A8" s="101" t="s">
        <v>1439</v>
      </c>
      <c r="B8" s="102"/>
      <c r="C8" s="102"/>
      <c r="D8" s="102"/>
      <c r="E8" s="103"/>
      <c r="F8" s="102"/>
      <c r="G8" s="103"/>
      <c r="H8" s="103"/>
      <c r="I8" s="96" t="str">
        <f aca="false">IF(OR(G8="",H8=""),"",G8*H8)</f>
        <v/>
      </c>
      <c r="J8" s="99" t="str">
        <f aca="false">IF(I8="","",IF(I8&gt;=15,"Crítica",IF(I8&gt;=9,"Alta",IF(I8&gt;=4,"Média","Baixa"))))</f>
        <v/>
      </c>
      <c r="K8" s="102"/>
      <c r="L8" s="102"/>
      <c r="M8" s="103"/>
      <c r="N8" s="96" t="str">
        <f aca="false">IF(B8="","",COUNTIF('Sensibilizando - Soluções'!$C$5:$C$500,A8&amp;"*"))</f>
        <v/>
      </c>
      <c r="O8" s="104"/>
      <c r="P8" s="102"/>
      <c r="Q8" s="102"/>
      <c r="R8" s="100" t="str">
        <f aca="false">IF(B8="","",A8&amp;" · "&amp;B8)</f>
        <v/>
      </c>
    </row>
    <row r="9" customFormat="false" ht="15" hidden="false" customHeight="false" outlineLevel="0" collapsed="false">
      <c r="A9" s="93" t="s">
        <v>1440</v>
      </c>
      <c r="B9" s="105"/>
      <c r="C9" s="105"/>
      <c r="D9" s="105"/>
      <c r="E9" s="106"/>
      <c r="F9" s="105"/>
      <c r="G9" s="106"/>
      <c r="H9" s="106"/>
      <c r="I9" s="96" t="str">
        <f aca="false">IF(OR(G9="",H9=""),"",G9*H9)</f>
        <v/>
      </c>
      <c r="J9" s="99" t="str">
        <f aca="false">IF(I9="","",IF(I9&gt;=15,"Crítica",IF(I9&gt;=9,"Alta",IF(I9&gt;=4,"Média","Baixa"))))</f>
        <v/>
      </c>
      <c r="K9" s="105"/>
      <c r="L9" s="105"/>
      <c r="M9" s="106"/>
      <c r="N9" s="96" t="str">
        <f aca="false">IF(B9="","",COUNTIF('Sensibilizando - Soluções'!$C$5:$C$500,A9&amp;"*"))</f>
        <v/>
      </c>
      <c r="O9" s="107"/>
      <c r="P9" s="105"/>
      <c r="Q9" s="105"/>
      <c r="R9" s="100" t="str">
        <f aca="false">IF(B9="","",A9&amp;" · "&amp;B9)</f>
        <v/>
      </c>
    </row>
    <row r="10" customFormat="false" ht="15" hidden="false" customHeight="false" outlineLevel="0" collapsed="false">
      <c r="A10" s="101" t="s">
        <v>1441</v>
      </c>
      <c r="B10" s="102"/>
      <c r="C10" s="102"/>
      <c r="D10" s="102"/>
      <c r="E10" s="103"/>
      <c r="F10" s="102"/>
      <c r="G10" s="103"/>
      <c r="H10" s="103"/>
      <c r="I10" s="96" t="str">
        <f aca="false">IF(OR(G10="",H10=""),"",G10*H10)</f>
        <v/>
      </c>
      <c r="J10" s="99" t="str">
        <f aca="false">IF(I10="","",IF(I10&gt;=15,"Crítica",IF(I10&gt;=9,"Alta",IF(I10&gt;=4,"Média","Baixa"))))</f>
        <v/>
      </c>
      <c r="K10" s="102"/>
      <c r="L10" s="102"/>
      <c r="M10" s="103"/>
      <c r="N10" s="96" t="str">
        <f aca="false">IF(B10="","",COUNTIF('Sensibilizando - Soluções'!$C$5:$C$500,A10&amp;"*"))</f>
        <v/>
      </c>
      <c r="O10" s="104"/>
      <c r="P10" s="102"/>
      <c r="Q10" s="102"/>
      <c r="R10" s="100" t="str">
        <f aca="false">IF(B10="","",A10&amp;" · "&amp;B10)</f>
        <v/>
      </c>
    </row>
    <row r="11" customFormat="false" ht="15" hidden="false" customHeight="false" outlineLevel="0" collapsed="false">
      <c r="A11" s="93" t="s">
        <v>1442</v>
      </c>
      <c r="B11" s="105"/>
      <c r="C11" s="105"/>
      <c r="D11" s="105"/>
      <c r="E11" s="106"/>
      <c r="F11" s="105"/>
      <c r="G11" s="106"/>
      <c r="H11" s="106"/>
      <c r="I11" s="96" t="str">
        <f aca="false">IF(OR(G11="",H11=""),"",G11*H11)</f>
        <v/>
      </c>
      <c r="J11" s="99" t="str">
        <f aca="false">IF(I11="","",IF(I11&gt;=15,"Crítica",IF(I11&gt;=9,"Alta",IF(I11&gt;=4,"Média","Baixa"))))</f>
        <v/>
      </c>
      <c r="K11" s="105"/>
      <c r="L11" s="105"/>
      <c r="M11" s="106"/>
      <c r="N11" s="96" t="str">
        <f aca="false">IF(B11="","",COUNTIF('Sensibilizando - Soluções'!$C$5:$C$500,A11&amp;"*"))</f>
        <v/>
      </c>
      <c r="O11" s="107"/>
      <c r="P11" s="105"/>
      <c r="Q11" s="105"/>
      <c r="R11" s="100" t="str">
        <f aca="false">IF(B11="","",A11&amp;" · "&amp;B11)</f>
        <v/>
      </c>
    </row>
    <row r="12" customFormat="false" ht="15" hidden="false" customHeight="false" outlineLevel="0" collapsed="false">
      <c r="A12" s="101" t="s">
        <v>1443</v>
      </c>
      <c r="B12" s="102"/>
      <c r="C12" s="102"/>
      <c r="D12" s="102"/>
      <c r="E12" s="103"/>
      <c r="F12" s="102"/>
      <c r="G12" s="103"/>
      <c r="H12" s="103"/>
      <c r="I12" s="96" t="str">
        <f aca="false">IF(OR(G12="",H12=""),"",G12*H12)</f>
        <v/>
      </c>
      <c r="J12" s="99" t="str">
        <f aca="false">IF(I12="","",IF(I12&gt;=15,"Crítica",IF(I12&gt;=9,"Alta",IF(I12&gt;=4,"Média","Baixa"))))</f>
        <v/>
      </c>
      <c r="K12" s="102"/>
      <c r="L12" s="102"/>
      <c r="M12" s="103"/>
      <c r="N12" s="96" t="str">
        <f aca="false">IF(B12="","",COUNTIF('Sensibilizando - Soluções'!$C$5:$C$500,A12&amp;"*"))</f>
        <v/>
      </c>
      <c r="O12" s="104"/>
      <c r="P12" s="102"/>
      <c r="Q12" s="102"/>
      <c r="R12" s="100" t="str">
        <f aca="false">IF(B12="","",A12&amp;" · "&amp;B12)</f>
        <v/>
      </c>
    </row>
    <row r="13" customFormat="false" ht="15" hidden="false" customHeight="false" outlineLevel="0" collapsed="false">
      <c r="A13" s="93" t="s">
        <v>1444</v>
      </c>
      <c r="B13" s="105"/>
      <c r="C13" s="105"/>
      <c r="D13" s="105"/>
      <c r="E13" s="106"/>
      <c r="F13" s="105"/>
      <c r="G13" s="106"/>
      <c r="H13" s="106"/>
      <c r="I13" s="96" t="str">
        <f aca="false">IF(OR(G13="",H13=""),"",G13*H13)</f>
        <v/>
      </c>
      <c r="J13" s="99" t="str">
        <f aca="false">IF(I13="","",IF(I13&gt;=15,"Crítica",IF(I13&gt;=9,"Alta",IF(I13&gt;=4,"Média","Baixa"))))</f>
        <v/>
      </c>
      <c r="K13" s="105"/>
      <c r="L13" s="105"/>
      <c r="M13" s="106"/>
      <c r="N13" s="96" t="str">
        <f aca="false">IF(B13="","",COUNTIF('Sensibilizando - Soluções'!$C$5:$C$500,A13&amp;"*"))</f>
        <v/>
      </c>
      <c r="O13" s="107"/>
      <c r="P13" s="105"/>
      <c r="Q13" s="105"/>
      <c r="R13" s="100" t="str">
        <f aca="false">IF(B13="","",A13&amp;" · "&amp;B13)</f>
        <v/>
      </c>
    </row>
    <row r="14" customFormat="false" ht="15" hidden="false" customHeight="false" outlineLevel="0" collapsed="false">
      <c r="A14" s="101" t="s">
        <v>1445</v>
      </c>
      <c r="B14" s="102"/>
      <c r="C14" s="102"/>
      <c r="D14" s="102"/>
      <c r="E14" s="103"/>
      <c r="F14" s="102"/>
      <c r="G14" s="103"/>
      <c r="H14" s="103"/>
      <c r="I14" s="96" t="str">
        <f aca="false">IF(OR(G14="",H14=""),"",G14*H14)</f>
        <v/>
      </c>
      <c r="J14" s="99" t="str">
        <f aca="false">IF(I14="","",IF(I14&gt;=15,"Crítica",IF(I14&gt;=9,"Alta",IF(I14&gt;=4,"Média","Baixa"))))</f>
        <v/>
      </c>
      <c r="K14" s="102"/>
      <c r="L14" s="102"/>
      <c r="M14" s="103"/>
      <c r="N14" s="96" t="str">
        <f aca="false">IF(B14="","",COUNTIF('Sensibilizando - Soluções'!$C$5:$C$500,A14&amp;"*"))</f>
        <v/>
      </c>
      <c r="O14" s="104"/>
      <c r="P14" s="102"/>
      <c r="Q14" s="102"/>
      <c r="R14" s="100" t="str">
        <f aca="false">IF(B14="","",A14&amp;" · "&amp;B14)</f>
        <v/>
      </c>
    </row>
    <row r="15" customFormat="false" ht="15" hidden="false" customHeight="false" outlineLevel="0" collapsed="false">
      <c r="A15" s="93" t="s">
        <v>1446</v>
      </c>
      <c r="B15" s="105"/>
      <c r="C15" s="105"/>
      <c r="D15" s="105"/>
      <c r="E15" s="106"/>
      <c r="F15" s="105"/>
      <c r="G15" s="106"/>
      <c r="H15" s="106"/>
      <c r="I15" s="96" t="str">
        <f aca="false">IF(OR(G15="",H15=""),"",G15*H15)</f>
        <v/>
      </c>
      <c r="J15" s="99" t="str">
        <f aca="false">IF(I15="","",IF(I15&gt;=15,"Crítica",IF(I15&gt;=9,"Alta",IF(I15&gt;=4,"Média","Baixa"))))</f>
        <v/>
      </c>
      <c r="K15" s="105"/>
      <c r="L15" s="105"/>
      <c r="M15" s="106"/>
      <c r="N15" s="96" t="str">
        <f aca="false">IF(B15="","",COUNTIF('Sensibilizando - Soluções'!$C$5:$C$500,A15&amp;"*"))</f>
        <v/>
      </c>
      <c r="O15" s="107"/>
      <c r="P15" s="105"/>
      <c r="Q15" s="105"/>
      <c r="R15" s="100" t="str">
        <f aca="false">IF(B15="","",A15&amp;" · "&amp;B15)</f>
        <v/>
      </c>
    </row>
    <row r="16" customFormat="false" ht="15" hidden="false" customHeight="false" outlineLevel="0" collapsed="false">
      <c r="A16" s="101" t="s">
        <v>1447</v>
      </c>
      <c r="B16" s="102"/>
      <c r="C16" s="102"/>
      <c r="D16" s="102"/>
      <c r="E16" s="103"/>
      <c r="F16" s="102"/>
      <c r="G16" s="103"/>
      <c r="H16" s="103"/>
      <c r="I16" s="96" t="str">
        <f aca="false">IF(OR(G16="",H16=""),"",G16*H16)</f>
        <v/>
      </c>
      <c r="J16" s="99" t="str">
        <f aca="false">IF(I16="","",IF(I16&gt;=15,"Crítica",IF(I16&gt;=9,"Alta",IF(I16&gt;=4,"Média","Baixa"))))</f>
        <v/>
      </c>
      <c r="K16" s="102"/>
      <c r="L16" s="102"/>
      <c r="M16" s="103"/>
      <c r="N16" s="96" t="str">
        <f aca="false">IF(B16="","",COUNTIF('Sensibilizando - Soluções'!$C$5:$C$500,A16&amp;"*"))</f>
        <v/>
      </c>
      <c r="O16" s="104"/>
      <c r="P16" s="102"/>
      <c r="Q16" s="102"/>
      <c r="R16" s="100" t="str">
        <f aca="false">IF(B16="","",A16&amp;" · "&amp;B16)</f>
        <v/>
      </c>
    </row>
    <row r="17" customFormat="false" ht="15" hidden="false" customHeight="false" outlineLevel="0" collapsed="false">
      <c r="A17" s="93" t="s">
        <v>1448</v>
      </c>
      <c r="B17" s="105"/>
      <c r="C17" s="105"/>
      <c r="D17" s="105"/>
      <c r="E17" s="106"/>
      <c r="F17" s="105"/>
      <c r="G17" s="106"/>
      <c r="H17" s="106"/>
      <c r="I17" s="96" t="str">
        <f aca="false">IF(OR(G17="",H17=""),"",G17*H17)</f>
        <v/>
      </c>
      <c r="J17" s="99" t="str">
        <f aca="false">IF(I17="","",IF(I17&gt;=15,"Crítica",IF(I17&gt;=9,"Alta",IF(I17&gt;=4,"Média","Baixa"))))</f>
        <v/>
      </c>
      <c r="K17" s="105"/>
      <c r="L17" s="105"/>
      <c r="M17" s="106"/>
      <c r="N17" s="96" t="str">
        <f aca="false">IF(B17="","",COUNTIF('Sensibilizando - Soluções'!$C$5:$C$500,A17&amp;"*"))</f>
        <v/>
      </c>
      <c r="O17" s="107"/>
      <c r="P17" s="105"/>
      <c r="Q17" s="105"/>
      <c r="R17" s="100" t="str">
        <f aca="false">IF(B17="","",A17&amp;" · "&amp;B17)</f>
        <v/>
      </c>
    </row>
    <row r="18" customFormat="false" ht="15" hidden="false" customHeight="false" outlineLevel="0" collapsed="false">
      <c r="A18" s="101" t="s">
        <v>1449</v>
      </c>
      <c r="B18" s="102"/>
      <c r="C18" s="102"/>
      <c r="D18" s="102"/>
      <c r="E18" s="103"/>
      <c r="F18" s="102"/>
      <c r="G18" s="103"/>
      <c r="H18" s="103"/>
      <c r="I18" s="96" t="str">
        <f aca="false">IF(OR(G18="",H18=""),"",G18*H18)</f>
        <v/>
      </c>
      <c r="J18" s="99" t="str">
        <f aca="false">IF(I18="","",IF(I18&gt;=15,"Crítica",IF(I18&gt;=9,"Alta",IF(I18&gt;=4,"Média","Baixa"))))</f>
        <v/>
      </c>
      <c r="K18" s="102"/>
      <c r="L18" s="102"/>
      <c r="M18" s="103"/>
      <c r="N18" s="96" t="str">
        <f aca="false">IF(B18="","",COUNTIF('Sensibilizando - Soluções'!$C$5:$C$500,A18&amp;"*"))</f>
        <v/>
      </c>
      <c r="O18" s="104"/>
      <c r="P18" s="102"/>
      <c r="Q18" s="102"/>
      <c r="R18" s="100" t="str">
        <f aca="false">IF(B18="","",A18&amp;" · "&amp;B18)</f>
        <v/>
      </c>
    </row>
    <row r="19" customFormat="false" ht="15" hidden="false" customHeight="false" outlineLevel="0" collapsed="false">
      <c r="A19" s="93" t="s">
        <v>1450</v>
      </c>
      <c r="B19" s="105"/>
      <c r="C19" s="105"/>
      <c r="D19" s="105"/>
      <c r="E19" s="106"/>
      <c r="F19" s="105"/>
      <c r="G19" s="106"/>
      <c r="H19" s="106"/>
      <c r="I19" s="96" t="str">
        <f aca="false">IF(OR(G19="",H19=""),"",G19*H19)</f>
        <v/>
      </c>
      <c r="J19" s="99" t="str">
        <f aca="false">IF(I19="","",IF(I19&gt;=15,"Crítica",IF(I19&gt;=9,"Alta",IF(I19&gt;=4,"Média","Baixa"))))</f>
        <v/>
      </c>
      <c r="K19" s="105"/>
      <c r="L19" s="105"/>
      <c r="M19" s="106"/>
      <c r="N19" s="96" t="str">
        <f aca="false">IF(B19="","",COUNTIF('Sensibilizando - Soluções'!$C$5:$C$500,A19&amp;"*"))</f>
        <v/>
      </c>
      <c r="O19" s="107"/>
      <c r="P19" s="105"/>
      <c r="Q19" s="105"/>
      <c r="R19" s="100" t="str">
        <f aca="false">IF(B19="","",A19&amp;" · "&amp;B19)</f>
        <v/>
      </c>
    </row>
    <row r="20" customFormat="false" ht="15" hidden="false" customHeight="false" outlineLevel="0" collapsed="false">
      <c r="A20" s="101" t="s">
        <v>1451</v>
      </c>
      <c r="B20" s="102"/>
      <c r="C20" s="102"/>
      <c r="D20" s="102"/>
      <c r="E20" s="103"/>
      <c r="F20" s="102"/>
      <c r="G20" s="103"/>
      <c r="H20" s="103"/>
      <c r="I20" s="96" t="str">
        <f aca="false">IF(OR(G20="",H20=""),"",G20*H20)</f>
        <v/>
      </c>
      <c r="J20" s="99" t="str">
        <f aca="false">IF(I20="","",IF(I20&gt;=15,"Crítica",IF(I20&gt;=9,"Alta",IF(I20&gt;=4,"Média","Baixa"))))</f>
        <v/>
      </c>
      <c r="K20" s="102"/>
      <c r="L20" s="102"/>
      <c r="M20" s="103"/>
      <c r="N20" s="96" t="str">
        <f aca="false">IF(B20="","",COUNTIF('Sensibilizando - Soluções'!$C$5:$C$500,A20&amp;"*"))</f>
        <v/>
      </c>
      <c r="O20" s="104"/>
      <c r="P20" s="102"/>
      <c r="Q20" s="102"/>
      <c r="R20" s="100" t="str">
        <f aca="false">IF(B20="","",A20&amp;" · "&amp;B20)</f>
        <v/>
      </c>
    </row>
    <row r="21" customFormat="false" ht="15" hidden="false" customHeight="false" outlineLevel="0" collapsed="false">
      <c r="A21" s="93" t="s">
        <v>1452</v>
      </c>
      <c r="B21" s="105"/>
      <c r="C21" s="105"/>
      <c r="D21" s="105"/>
      <c r="E21" s="106"/>
      <c r="F21" s="105"/>
      <c r="G21" s="106"/>
      <c r="H21" s="106"/>
      <c r="I21" s="96" t="str">
        <f aca="false">IF(OR(G21="",H21=""),"",G21*H21)</f>
        <v/>
      </c>
      <c r="J21" s="99" t="str">
        <f aca="false">IF(I21="","",IF(I21&gt;=15,"Crítica",IF(I21&gt;=9,"Alta",IF(I21&gt;=4,"Média","Baixa"))))</f>
        <v/>
      </c>
      <c r="K21" s="105"/>
      <c r="L21" s="105"/>
      <c r="M21" s="106"/>
      <c r="N21" s="96" t="str">
        <f aca="false">IF(B21="","",COUNTIF('Sensibilizando - Soluções'!$C$5:$C$500,A21&amp;"*"))</f>
        <v/>
      </c>
      <c r="O21" s="107"/>
      <c r="P21" s="105"/>
      <c r="Q21" s="105"/>
      <c r="R21" s="100" t="str">
        <f aca="false">IF(B21="","",A21&amp;" · "&amp;B21)</f>
        <v/>
      </c>
    </row>
    <row r="22" customFormat="false" ht="15" hidden="false" customHeight="false" outlineLevel="0" collapsed="false">
      <c r="A22" s="101" t="s">
        <v>1453</v>
      </c>
      <c r="B22" s="102"/>
      <c r="C22" s="102"/>
      <c r="D22" s="102"/>
      <c r="E22" s="103"/>
      <c r="F22" s="102"/>
      <c r="G22" s="103"/>
      <c r="H22" s="103"/>
      <c r="I22" s="96" t="str">
        <f aca="false">IF(OR(G22="",H22=""),"",G22*H22)</f>
        <v/>
      </c>
      <c r="J22" s="99" t="str">
        <f aca="false">IF(I22="","",IF(I22&gt;=15,"Crítica",IF(I22&gt;=9,"Alta",IF(I22&gt;=4,"Média","Baixa"))))</f>
        <v/>
      </c>
      <c r="K22" s="102"/>
      <c r="L22" s="102"/>
      <c r="M22" s="103"/>
      <c r="N22" s="96" t="str">
        <f aca="false">IF(B22="","",COUNTIF('Sensibilizando - Soluções'!$C$5:$C$500,A22&amp;"*"))</f>
        <v/>
      </c>
      <c r="O22" s="104"/>
      <c r="P22" s="102"/>
      <c r="Q22" s="102"/>
      <c r="R22" s="100" t="str">
        <f aca="false">IF(B22="","",A22&amp;" · "&amp;B22)</f>
        <v/>
      </c>
    </row>
    <row r="23" customFormat="false" ht="15" hidden="false" customHeight="false" outlineLevel="0" collapsed="false">
      <c r="A23" s="93" t="s">
        <v>1454</v>
      </c>
      <c r="B23" s="105"/>
      <c r="C23" s="105"/>
      <c r="D23" s="105"/>
      <c r="E23" s="106"/>
      <c r="F23" s="105"/>
      <c r="G23" s="106"/>
      <c r="H23" s="106"/>
      <c r="I23" s="96" t="str">
        <f aca="false">IF(OR(G23="",H23=""),"",G23*H23)</f>
        <v/>
      </c>
      <c r="J23" s="99" t="str">
        <f aca="false">IF(I23="","",IF(I23&gt;=15,"Crítica",IF(I23&gt;=9,"Alta",IF(I23&gt;=4,"Média","Baixa"))))</f>
        <v/>
      </c>
      <c r="K23" s="105"/>
      <c r="L23" s="105"/>
      <c r="M23" s="106"/>
      <c r="N23" s="96" t="str">
        <f aca="false">IF(B23="","",COUNTIF('Sensibilizando - Soluções'!$C$5:$C$500,A23&amp;"*"))</f>
        <v/>
      </c>
      <c r="O23" s="107"/>
      <c r="P23" s="105"/>
      <c r="Q23" s="105"/>
      <c r="R23" s="100" t="str">
        <f aca="false">IF(B23="","",A23&amp;" · "&amp;B23)</f>
        <v/>
      </c>
    </row>
    <row r="24" customFormat="false" ht="15" hidden="false" customHeight="false" outlineLevel="0" collapsed="false">
      <c r="A24" s="101" t="s">
        <v>1455</v>
      </c>
      <c r="B24" s="102"/>
      <c r="C24" s="102"/>
      <c r="D24" s="102"/>
      <c r="E24" s="103"/>
      <c r="F24" s="102"/>
      <c r="G24" s="103"/>
      <c r="H24" s="103"/>
      <c r="I24" s="96" t="str">
        <f aca="false">IF(OR(G24="",H24=""),"",G24*H24)</f>
        <v/>
      </c>
      <c r="J24" s="99" t="str">
        <f aca="false">IF(I24="","",IF(I24&gt;=15,"Crítica",IF(I24&gt;=9,"Alta",IF(I24&gt;=4,"Média","Baixa"))))</f>
        <v/>
      </c>
      <c r="K24" s="102"/>
      <c r="L24" s="102"/>
      <c r="M24" s="103"/>
      <c r="N24" s="96" t="str">
        <f aca="false">IF(B24="","",COUNTIF('Sensibilizando - Soluções'!$C$5:$C$500,A24&amp;"*"))</f>
        <v/>
      </c>
      <c r="O24" s="104"/>
      <c r="P24" s="102"/>
      <c r="Q24" s="102"/>
      <c r="R24" s="100" t="str">
        <f aca="false">IF(B24="","",A24&amp;" · "&amp;B24)</f>
        <v/>
      </c>
    </row>
    <row r="25" customFormat="false" ht="15" hidden="false" customHeight="false" outlineLevel="0" collapsed="false">
      <c r="A25" s="93" t="s">
        <v>1456</v>
      </c>
      <c r="B25" s="105"/>
      <c r="C25" s="105"/>
      <c r="D25" s="105"/>
      <c r="E25" s="106"/>
      <c r="F25" s="105"/>
      <c r="G25" s="106"/>
      <c r="H25" s="106"/>
      <c r="I25" s="96" t="str">
        <f aca="false">IF(OR(G25="",H25=""),"",G25*H25)</f>
        <v/>
      </c>
      <c r="J25" s="99" t="str">
        <f aca="false">IF(I25="","",IF(I25&gt;=15,"Crítica",IF(I25&gt;=9,"Alta",IF(I25&gt;=4,"Média","Baixa"))))</f>
        <v/>
      </c>
      <c r="K25" s="105"/>
      <c r="L25" s="105"/>
      <c r="M25" s="106"/>
      <c r="N25" s="96" t="str">
        <f aca="false">IF(B25="","",COUNTIF('Sensibilizando - Soluções'!$C$5:$C$500,A25&amp;"*"))</f>
        <v/>
      </c>
      <c r="O25" s="107"/>
      <c r="P25" s="105"/>
      <c r="Q25" s="105"/>
      <c r="R25" s="100" t="str">
        <f aca="false">IF(B25="","",A25&amp;" · "&amp;B25)</f>
        <v/>
      </c>
    </row>
    <row r="26" customFormat="false" ht="15" hidden="false" customHeight="false" outlineLevel="0" collapsed="false">
      <c r="A26" s="101" t="s">
        <v>1457</v>
      </c>
      <c r="B26" s="102"/>
      <c r="C26" s="102"/>
      <c r="D26" s="102"/>
      <c r="E26" s="103"/>
      <c r="F26" s="102"/>
      <c r="G26" s="103"/>
      <c r="H26" s="103"/>
      <c r="I26" s="96" t="str">
        <f aca="false">IF(OR(G26="",H26=""),"",G26*H26)</f>
        <v/>
      </c>
      <c r="J26" s="99" t="str">
        <f aca="false">IF(I26="","",IF(I26&gt;=15,"Crítica",IF(I26&gt;=9,"Alta",IF(I26&gt;=4,"Média","Baixa"))))</f>
        <v/>
      </c>
      <c r="K26" s="102"/>
      <c r="L26" s="102"/>
      <c r="M26" s="103"/>
      <c r="N26" s="96" t="str">
        <f aca="false">IF(B26="","",COUNTIF('Sensibilizando - Soluções'!$C$5:$C$500,A26&amp;"*"))</f>
        <v/>
      </c>
      <c r="O26" s="104"/>
      <c r="P26" s="102"/>
      <c r="Q26" s="102"/>
      <c r="R26" s="100" t="str">
        <f aca="false">IF(B26="","",A26&amp;" · "&amp;B26)</f>
        <v/>
      </c>
    </row>
    <row r="27" customFormat="false" ht="15" hidden="false" customHeight="false" outlineLevel="0" collapsed="false">
      <c r="A27" s="93" t="s">
        <v>1458</v>
      </c>
      <c r="B27" s="105"/>
      <c r="C27" s="105"/>
      <c r="D27" s="105"/>
      <c r="E27" s="106"/>
      <c r="F27" s="105"/>
      <c r="G27" s="106"/>
      <c r="H27" s="106"/>
      <c r="I27" s="96" t="str">
        <f aca="false">IF(OR(G27="",H27=""),"",G27*H27)</f>
        <v/>
      </c>
      <c r="J27" s="99" t="str">
        <f aca="false">IF(I27="","",IF(I27&gt;=15,"Crítica",IF(I27&gt;=9,"Alta",IF(I27&gt;=4,"Média","Baixa"))))</f>
        <v/>
      </c>
      <c r="K27" s="105"/>
      <c r="L27" s="105"/>
      <c r="M27" s="106"/>
      <c r="N27" s="96" t="str">
        <f aca="false">IF(B27="","",COUNTIF('Sensibilizando - Soluções'!$C$5:$C$500,A27&amp;"*"))</f>
        <v/>
      </c>
      <c r="O27" s="107"/>
      <c r="P27" s="105"/>
      <c r="Q27" s="105"/>
      <c r="R27" s="100" t="str">
        <f aca="false">IF(B27="","",A27&amp;" · "&amp;B27)</f>
        <v/>
      </c>
    </row>
    <row r="28" customFormat="false" ht="15" hidden="false" customHeight="false" outlineLevel="0" collapsed="false">
      <c r="A28" s="101" t="s">
        <v>1459</v>
      </c>
      <c r="B28" s="102"/>
      <c r="C28" s="102"/>
      <c r="D28" s="102"/>
      <c r="E28" s="103"/>
      <c r="F28" s="102"/>
      <c r="G28" s="103"/>
      <c r="H28" s="103"/>
      <c r="I28" s="96" t="str">
        <f aca="false">IF(OR(G28="",H28=""),"",G28*H28)</f>
        <v/>
      </c>
      <c r="J28" s="99" t="str">
        <f aca="false">IF(I28="","",IF(I28&gt;=15,"Crítica",IF(I28&gt;=9,"Alta",IF(I28&gt;=4,"Média","Baixa"))))</f>
        <v/>
      </c>
      <c r="K28" s="102"/>
      <c r="L28" s="102"/>
      <c r="M28" s="103"/>
      <c r="N28" s="96" t="str">
        <f aca="false">IF(B28="","",COUNTIF('Sensibilizando - Soluções'!$C$5:$C$500,A28&amp;"*"))</f>
        <v/>
      </c>
      <c r="O28" s="104"/>
      <c r="P28" s="102"/>
      <c r="Q28" s="102"/>
      <c r="R28" s="100" t="str">
        <f aca="false">IF(B28="","",A28&amp;" · "&amp;B28)</f>
        <v/>
      </c>
    </row>
    <row r="29" customFormat="false" ht="15" hidden="false" customHeight="false" outlineLevel="0" collapsed="false">
      <c r="A29" s="93" t="s">
        <v>1460</v>
      </c>
      <c r="B29" s="105"/>
      <c r="C29" s="105"/>
      <c r="D29" s="105"/>
      <c r="E29" s="106"/>
      <c r="F29" s="105"/>
      <c r="G29" s="106"/>
      <c r="H29" s="106"/>
      <c r="I29" s="96" t="str">
        <f aca="false">IF(OR(G29="",H29=""),"",G29*H29)</f>
        <v/>
      </c>
      <c r="J29" s="99" t="str">
        <f aca="false">IF(I29="","",IF(I29&gt;=15,"Crítica",IF(I29&gt;=9,"Alta",IF(I29&gt;=4,"Média","Baixa"))))</f>
        <v/>
      </c>
      <c r="K29" s="105"/>
      <c r="L29" s="105"/>
      <c r="M29" s="106"/>
      <c r="N29" s="96" t="str">
        <f aca="false">IF(B29="","",COUNTIF('Sensibilizando - Soluções'!$C$5:$C$500,A29&amp;"*"))</f>
        <v/>
      </c>
      <c r="O29" s="107"/>
      <c r="P29" s="105"/>
      <c r="Q29" s="105"/>
      <c r="R29" s="100" t="str">
        <f aca="false">IF(B29="","",A29&amp;" · "&amp;B29)</f>
        <v/>
      </c>
    </row>
    <row r="30" customFormat="false" ht="15" hidden="false" customHeight="false" outlineLevel="0" collapsed="false">
      <c r="A30" s="101" t="s">
        <v>1461</v>
      </c>
      <c r="B30" s="102"/>
      <c r="C30" s="102"/>
      <c r="D30" s="102"/>
      <c r="E30" s="103"/>
      <c r="F30" s="102"/>
      <c r="G30" s="103"/>
      <c r="H30" s="103"/>
      <c r="I30" s="96" t="str">
        <f aca="false">IF(OR(G30="",H30=""),"",G30*H30)</f>
        <v/>
      </c>
      <c r="J30" s="99" t="str">
        <f aca="false">IF(I30="","",IF(I30&gt;=15,"Crítica",IF(I30&gt;=9,"Alta",IF(I30&gt;=4,"Média","Baixa"))))</f>
        <v/>
      </c>
      <c r="K30" s="102"/>
      <c r="L30" s="102"/>
      <c r="M30" s="103"/>
      <c r="N30" s="96" t="str">
        <f aca="false">IF(B30="","",COUNTIF('Sensibilizando - Soluções'!$C$5:$C$500,A30&amp;"*"))</f>
        <v/>
      </c>
      <c r="O30" s="104"/>
      <c r="P30" s="102"/>
      <c r="Q30" s="102"/>
      <c r="R30" s="100" t="str">
        <f aca="false">IF(B30="","",A30&amp;" · "&amp;B30)</f>
        <v/>
      </c>
    </row>
    <row r="31" customFormat="false" ht="15" hidden="false" customHeight="false" outlineLevel="0" collapsed="false">
      <c r="A31" s="93" t="s">
        <v>1462</v>
      </c>
      <c r="B31" s="105"/>
      <c r="C31" s="105"/>
      <c r="D31" s="105"/>
      <c r="E31" s="106"/>
      <c r="F31" s="105"/>
      <c r="G31" s="106"/>
      <c r="H31" s="106"/>
      <c r="I31" s="96" t="str">
        <f aca="false">IF(OR(G31="",H31=""),"",G31*H31)</f>
        <v/>
      </c>
      <c r="J31" s="99" t="str">
        <f aca="false">IF(I31="","",IF(I31&gt;=15,"Crítica",IF(I31&gt;=9,"Alta",IF(I31&gt;=4,"Média","Baixa"))))</f>
        <v/>
      </c>
      <c r="K31" s="105"/>
      <c r="L31" s="105"/>
      <c r="M31" s="106"/>
      <c r="N31" s="96" t="str">
        <f aca="false">IF(B31="","",COUNTIF('Sensibilizando - Soluções'!$C$5:$C$500,A31&amp;"*"))</f>
        <v/>
      </c>
      <c r="O31" s="107"/>
      <c r="P31" s="105"/>
      <c r="Q31" s="105"/>
      <c r="R31" s="100" t="str">
        <f aca="false">IF(B31="","",A31&amp;" · "&amp;B31)</f>
        <v/>
      </c>
    </row>
    <row r="32" customFormat="false" ht="15" hidden="false" customHeight="false" outlineLevel="0" collapsed="false">
      <c r="A32" s="101" t="s">
        <v>1463</v>
      </c>
      <c r="B32" s="102"/>
      <c r="C32" s="102"/>
      <c r="D32" s="102"/>
      <c r="E32" s="103"/>
      <c r="F32" s="102"/>
      <c r="G32" s="103"/>
      <c r="H32" s="103"/>
      <c r="I32" s="96" t="str">
        <f aca="false">IF(OR(G32="",H32=""),"",G32*H32)</f>
        <v/>
      </c>
      <c r="J32" s="99" t="str">
        <f aca="false">IF(I32="","",IF(I32&gt;=15,"Crítica",IF(I32&gt;=9,"Alta",IF(I32&gt;=4,"Média","Baixa"))))</f>
        <v/>
      </c>
      <c r="K32" s="102"/>
      <c r="L32" s="102"/>
      <c r="M32" s="103"/>
      <c r="N32" s="96" t="str">
        <f aca="false">IF(B32="","",COUNTIF('Sensibilizando - Soluções'!$C$5:$C$500,A32&amp;"*"))</f>
        <v/>
      </c>
      <c r="O32" s="104"/>
      <c r="P32" s="102"/>
      <c r="Q32" s="102"/>
      <c r="R32" s="100" t="str">
        <f aca="false">IF(B32="","",A32&amp;" · "&amp;B32)</f>
        <v/>
      </c>
    </row>
    <row r="33" customFormat="false" ht="15" hidden="false" customHeight="false" outlineLevel="0" collapsed="false">
      <c r="A33" s="93" t="s">
        <v>1464</v>
      </c>
      <c r="B33" s="105"/>
      <c r="C33" s="105"/>
      <c r="D33" s="105"/>
      <c r="E33" s="106"/>
      <c r="F33" s="105"/>
      <c r="G33" s="106"/>
      <c r="H33" s="106"/>
      <c r="I33" s="96" t="str">
        <f aca="false">IF(OR(G33="",H33=""),"",G33*H33)</f>
        <v/>
      </c>
      <c r="J33" s="99" t="str">
        <f aca="false">IF(I33="","",IF(I33&gt;=15,"Crítica",IF(I33&gt;=9,"Alta",IF(I33&gt;=4,"Média","Baixa"))))</f>
        <v/>
      </c>
      <c r="K33" s="105"/>
      <c r="L33" s="105"/>
      <c r="M33" s="106"/>
      <c r="N33" s="96" t="str">
        <f aca="false">IF(B33="","",COUNTIF('Sensibilizando - Soluções'!$C$5:$C$500,A33&amp;"*"))</f>
        <v/>
      </c>
      <c r="O33" s="107"/>
      <c r="P33" s="105"/>
      <c r="Q33" s="105"/>
      <c r="R33" s="100" t="str">
        <f aca="false">IF(B33="","",A33&amp;" · "&amp;B33)</f>
        <v/>
      </c>
    </row>
    <row r="34" customFormat="false" ht="15" hidden="false" customHeight="false" outlineLevel="0" collapsed="false">
      <c r="A34" s="101" t="s">
        <v>1465</v>
      </c>
      <c r="B34" s="102"/>
      <c r="C34" s="102"/>
      <c r="D34" s="102"/>
      <c r="E34" s="103"/>
      <c r="F34" s="102"/>
      <c r="G34" s="103"/>
      <c r="H34" s="103"/>
      <c r="I34" s="96" t="str">
        <f aca="false">IF(OR(G34="",H34=""),"",G34*H34)</f>
        <v/>
      </c>
      <c r="J34" s="99" t="str">
        <f aca="false">IF(I34="","",IF(I34&gt;=15,"Crítica",IF(I34&gt;=9,"Alta",IF(I34&gt;=4,"Média","Baixa"))))</f>
        <v/>
      </c>
      <c r="K34" s="102"/>
      <c r="L34" s="102"/>
      <c r="M34" s="103"/>
      <c r="N34" s="96" t="str">
        <f aca="false">IF(B34="","",COUNTIF('Sensibilizando - Soluções'!$C$5:$C$500,A34&amp;"*"))</f>
        <v/>
      </c>
      <c r="O34" s="104"/>
      <c r="P34" s="102"/>
      <c r="Q34" s="102"/>
      <c r="R34" s="100" t="str">
        <f aca="false">IF(B34="","",A34&amp;" · "&amp;B34)</f>
        <v/>
      </c>
    </row>
    <row r="35" customFormat="false" ht="15" hidden="false" customHeight="false" outlineLevel="0" collapsed="false">
      <c r="A35" s="93" t="s">
        <v>1466</v>
      </c>
      <c r="B35" s="105"/>
      <c r="C35" s="105"/>
      <c r="D35" s="105"/>
      <c r="E35" s="106"/>
      <c r="F35" s="105"/>
      <c r="G35" s="106"/>
      <c r="H35" s="106"/>
      <c r="I35" s="96" t="str">
        <f aca="false">IF(OR(G35="",H35=""),"",G35*H35)</f>
        <v/>
      </c>
      <c r="J35" s="99" t="str">
        <f aca="false">IF(I35="","",IF(I35&gt;=15,"Crítica",IF(I35&gt;=9,"Alta",IF(I35&gt;=4,"Média","Baixa"))))</f>
        <v/>
      </c>
      <c r="K35" s="105"/>
      <c r="L35" s="105"/>
      <c r="M35" s="106"/>
      <c r="N35" s="96" t="str">
        <f aca="false">IF(B35="","",COUNTIF('Sensibilizando - Soluções'!$C$5:$C$500,A35&amp;"*"))</f>
        <v/>
      </c>
      <c r="O35" s="107"/>
      <c r="P35" s="105"/>
      <c r="Q35" s="105"/>
      <c r="R35" s="100" t="str">
        <f aca="false">IF(B35="","",A35&amp;" · "&amp;B35)</f>
        <v/>
      </c>
    </row>
    <row r="36" customFormat="false" ht="15" hidden="false" customHeight="false" outlineLevel="0" collapsed="false">
      <c r="A36" s="101" t="s">
        <v>1467</v>
      </c>
      <c r="B36" s="102"/>
      <c r="C36" s="102"/>
      <c r="D36" s="102"/>
      <c r="E36" s="103"/>
      <c r="F36" s="102"/>
      <c r="G36" s="103"/>
      <c r="H36" s="103"/>
      <c r="I36" s="96" t="str">
        <f aca="false">IF(OR(G36="",H36=""),"",G36*H36)</f>
        <v/>
      </c>
      <c r="J36" s="99" t="str">
        <f aca="false">IF(I36="","",IF(I36&gt;=15,"Crítica",IF(I36&gt;=9,"Alta",IF(I36&gt;=4,"Média","Baixa"))))</f>
        <v/>
      </c>
      <c r="K36" s="102"/>
      <c r="L36" s="102"/>
      <c r="M36" s="103"/>
      <c r="N36" s="96" t="str">
        <f aca="false">IF(B36="","",COUNTIF('Sensibilizando - Soluções'!$C$5:$C$500,A36&amp;"*"))</f>
        <v/>
      </c>
      <c r="O36" s="104"/>
      <c r="P36" s="102"/>
      <c r="Q36" s="102"/>
      <c r="R36" s="100" t="str">
        <f aca="false">IF(B36="","",A36&amp;" · "&amp;B36)</f>
        <v/>
      </c>
    </row>
    <row r="37" customFormat="false" ht="15" hidden="false" customHeight="false" outlineLevel="0" collapsed="false">
      <c r="A37" s="93" t="s">
        <v>1468</v>
      </c>
      <c r="B37" s="105"/>
      <c r="C37" s="105"/>
      <c r="D37" s="105"/>
      <c r="E37" s="106"/>
      <c r="F37" s="105"/>
      <c r="G37" s="106"/>
      <c r="H37" s="106"/>
      <c r="I37" s="96" t="str">
        <f aca="false">IF(OR(G37="",H37=""),"",G37*H37)</f>
        <v/>
      </c>
      <c r="J37" s="99" t="str">
        <f aca="false">IF(I37="","",IF(I37&gt;=15,"Crítica",IF(I37&gt;=9,"Alta",IF(I37&gt;=4,"Média","Baixa"))))</f>
        <v/>
      </c>
      <c r="K37" s="105"/>
      <c r="L37" s="105"/>
      <c r="M37" s="106"/>
      <c r="N37" s="96" t="str">
        <f aca="false">IF(B37="","",COUNTIF('Sensibilizando - Soluções'!$C$5:$C$500,A37&amp;"*"))</f>
        <v/>
      </c>
      <c r="O37" s="107"/>
      <c r="P37" s="105"/>
      <c r="Q37" s="105"/>
      <c r="R37" s="100" t="str">
        <f aca="false">IF(B37="","",A37&amp;" · "&amp;B37)</f>
        <v/>
      </c>
    </row>
    <row r="38" customFormat="false" ht="15" hidden="false" customHeight="false" outlineLevel="0" collapsed="false">
      <c r="A38" s="101" t="s">
        <v>1469</v>
      </c>
      <c r="B38" s="102"/>
      <c r="C38" s="102"/>
      <c r="D38" s="102"/>
      <c r="E38" s="103"/>
      <c r="F38" s="102"/>
      <c r="G38" s="103"/>
      <c r="H38" s="103"/>
      <c r="I38" s="96" t="str">
        <f aca="false">IF(OR(G38="",H38=""),"",G38*H38)</f>
        <v/>
      </c>
      <c r="J38" s="99" t="str">
        <f aca="false">IF(I38="","",IF(I38&gt;=15,"Crítica",IF(I38&gt;=9,"Alta",IF(I38&gt;=4,"Média","Baixa"))))</f>
        <v/>
      </c>
      <c r="K38" s="102"/>
      <c r="L38" s="102"/>
      <c r="M38" s="103"/>
      <c r="N38" s="96" t="str">
        <f aca="false">IF(B38="","",COUNTIF('Sensibilizando - Soluções'!$C$5:$C$500,A38&amp;"*"))</f>
        <v/>
      </c>
      <c r="O38" s="104"/>
      <c r="P38" s="102"/>
      <c r="Q38" s="102"/>
      <c r="R38" s="100" t="str">
        <f aca="false">IF(B38="","",A38&amp;" · "&amp;B38)</f>
        <v/>
      </c>
    </row>
    <row r="39" customFormat="false" ht="15" hidden="false" customHeight="false" outlineLevel="0" collapsed="false">
      <c r="A39" s="93" t="s">
        <v>1470</v>
      </c>
      <c r="B39" s="105"/>
      <c r="C39" s="105"/>
      <c r="D39" s="105"/>
      <c r="E39" s="106"/>
      <c r="F39" s="105"/>
      <c r="G39" s="106"/>
      <c r="H39" s="106"/>
      <c r="I39" s="96" t="str">
        <f aca="false">IF(OR(G39="",H39=""),"",G39*H39)</f>
        <v/>
      </c>
      <c r="J39" s="99" t="str">
        <f aca="false">IF(I39="","",IF(I39&gt;=15,"Crítica",IF(I39&gt;=9,"Alta",IF(I39&gt;=4,"Média","Baixa"))))</f>
        <v/>
      </c>
      <c r="K39" s="105"/>
      <c r="L39" s="105"/>
      <c r="M39" s="106"/>
      <c r="N39" s="96" t="str">
        <f aca="false">IF(B39="","",COUNTIF('Sensibilizando - Soluções'!$C$5:$C$500,A39&amp;"*"))</f>
        <v/>
      </c>
      <c r="O39" s="107"/>
      <c r="P39" s="105"/>
      <c r="Q39" s="105"/>
      <c r="R39" s="100" t="str">
        <f aca="false">IF(B39="","",A39&amp;" · "&amp;B39)</f>
        <v/>
      </c>
    </row>
    <row r="40" customFormat="false" ht="15" hidden="false" customHeight="false" outlineLevel="0" collapsed="false">
      <c r="A40" s="101" t="s">
        <v>1471</v>
      </c>
      <c r="B40" s="102"/>
      <c r="C40" s="102"/>
      <c r="D40" s="102"/>
      <c r="E40" s="103"/>
      <c r="F40" s="102"/>
      <c r="G40" s="103"/>
      <c r="H40" s="103"/>
      <c r="I40" s="96" t="str">
        <f aca="false">IF(OR(G40="",H40=""),"",G40*H40)</f>
        <v/>
      </c>
      <c r="J40" s="99" t="str">
        <f aca="false">IF(I40="","",IF(I40&gt;=15,"Crítica",IF(I40&gt;=9,"Alta",IF(I40&gt;=4,"Média","Baixa"))))</f>
        <v/>
      </c>
      <c r="K40" s="102"/>
      <c r="L40" s="102"/>
      <c r="M40" s="103"/>
      <c r="N40" s="96" t="str">
        <f aca="false">IF(B40="","",COUNTIF('Sensibilizando - Soluções'!$C$5:$C$500,A40&amp;"*"))</f>
        <v/>
      </c>
      <c r="O40" s="104"/>
      <c r="P40" s="102"/>
      <c r="Q40" s="102"/>
      <c r="R40" s="100" t="str">
        <f aca="false">IF(B40="","",A40&amp;" · "&amp;B40)</f>
        <v/>
      </c>
    </row>
    <row r="41" customFormat="false" ht="15" hidden="false" customHeight="false" outlineLevel="0" collapsed="false">
      <c r="A41" s="93" t="s">
        <v>1472</v>
      </c>
      <c r="B41" s="105"/>
      <c r="C41" s="105"/>
      <c r="D41" s="105"/>
      <c r="E41" s="106"/>
      <c r="F41" s="105"/>
      <c r="G41" s="106"/>
      <c r="H41" s="106"/>
      <c r="I41" s="96" t="str">
        <f aca="false">IF(OR(G41="",H41=""),"",G41*H41)</f>
        <v/>
      </c>
      <c r="J41" s="99" t="str">
        <f aca="false">IF(I41="","",IF(I41&gt;=15,"Crítica",IF(I41&gt;=9,"Alta",IF(I41&gt;=4,"Média","Baixa"))))</f>
        <v/>
      </c>
      <c r="K41" s="105"/>
      <c r="L41" s="105"/>
      <c r="M41" s="106"/>
      <c r="N41" s="96" t="str">
        <f aca="false">IF(B41="","",COUNTIF('Sensibilizando - Soluções'!$C$5:$C$500,A41&amp;"*"))</f>
        <v/>
      </c>
      <c r="O41" s="107"/>
      <c r="P41" s="105"/>
      <c r="Q41" s="105"/>
      <c r="R41" s="100" t="str">
        <f aca="false">IF(B41="","",A41&amp;" · "&amp;B41)</f>
        <v/>
      </c>
    </row>
    <row r="42" customFormat="false" ht="15" hidden="false" customHeight="false" outlineLevel="0" collapsed="false">
      <c r="A42" s="101" t="s">
        <v>1473</v>
      </c>
      <c r="B42" s="102"/>
      <c r="C42" s="102"/>
      <c r="D42" s="102"/>
      <c r="E42" s="103"/>
      <c r="F42" s="102"/>
      <c r="G42" s="103"/>
      <c r="H42" s="103"/>
      <c r="I42" s="96" t="str">
        <f aca="false">IF(OR(G42="",H42=""),"",G42*H42)</f>
        <v/>
      </c>
      <c r="J42" s="99" t="str">
        <f aca="false">IF(I42="","",IF(I42&gt;=15,"Crítica",IF(I42&gt;=9,"Alta",IF(I42&gt;=4,"Média","Baixa"))))</f>
        <v/>
      </c>
      <c r="K42" s="102"/>
      <c r="L42" s="102"/>
      <c r="M42" s="103"/>
      <c r="N42" s="96" t="str">
        <f aca="false">IF(B42="","",COUNTIF('Sensibilizando - Soluções'!$C$5:$C$500,A42&amp;"*"))</f>
        <v/>
      </c>
      <c r="O42" s="104"/>
      <c r="P42" s="102"/>
      <c r="Q42" s="102"/>
      <c r="R42" s="100" t="str">
        <f aca="false">IF(B42="","",A42&amp;" · "&amp;B42)</f>
        <v/>
      </c>
    </row>
    <row r="43" customFormat="false" ht="15" hidden="false" customHeight="false" outlineLevel="0" collapsed="false">
      <c r="A43" s="93" t="s">
        <v>1474</v>
      </c>
      <c r="B43" s="105"/>
      <c r="C43" s="105"/>
      <c r="D43" s="105"/>
      <c r="E43" s="106"/>
      <c r="F43" s="105"/>
      <c r="G43" s="106"/>
      <c r="H43" s="106"/>
      <c r="I43" s="96" t="str">
        <f aca="false">IF(OR(G43="",H43=""),"",G43*H43)</f>
        <v/>
      </c>
      <c r="J43" s="99" t="str">
        <f aca="false">IF(I43="","",IF(I43&gt;=15,"Crítica",IF(I43&gt;=9,"Alta",IF(I43&gt;=4,"Média","Baixa"))))</f>
        <v/>
      </c>
      <c r="K43" s="105"/>
      <c r="L43" s="105"/>
      <c r="M43" s="106"/>
      <c r="N43" s="96" t="str">
        <f aca="false">IF(B43="","",COUNTIF('Sensibilizando - Soluções'!$C$5:$C$500,A43&amp;"*"))</f>
        <v/>
      </c>
      <c r="O43" s="107"/>
      <c r="P43" s="105"/>
      <c r="Q43" s="105"/>
      <c r="R43" s="100" t="str">
        <f aca="false">IF(B43="","",A43&amp;" · "&amp;B43)</f>
        <v/>
      </c>
    </row>
    <row r="44" customFormat="false" ht="15" hidden="false" customHeight="false" outlineLevel="0" collapsed="false">
      <c r="A44" s="101" t="s">
        <v>1475</v>
      </c>
      <c r="B44" s="102"/>
      <c r="C44" s="102"/>
      <c r="D44" s="102"/>
      <c r="E44" s="103"/>
      <c r="F44" s="102"/>
      <c r="G44" s="103"/>
      <c r="H44" s="103"/>
      <c r="I44" s="96" t="str">
        <f aca="false">IF(OR(G44="",H44=""),"",G44*H44)</f>
        <v/>
      </c>
      <c r="J44" s="99" t="str">
        <f aca="false">IF(I44="","",IF(I44&gt;=15,"Crítica",IF(I44&gt;=9,"Alta",IF(I44&gt;=4,"Média","Baixa"))))</f>
        <v/>
      </c>
      <c r="K44" s="102"/>
      <c r="L44" s="102"/>
      <c r="M44" s="103"/>
      <c r="N44" s="96" t="str">
        <f aca="false">IF(B44="","",COUNTIF('Sensibilizando - Soluções'!$C$5:$C$500,A44&amp;"*"))</f>
        <v/>
      </c>
      <c r="O44" s="104"/>
      <c r="P44" s="102"/>
      <c r="Q44" s="102"/>
      <c r="R44" s="100" t="str">
        <f aca="false">IF(B44="","",A44&amp;" · "&amp;B44)</f>
        <v/>
      </c>
    </row>
    <row r="45" customFormat="false" ht="15" hidden="false" customHeight="false" outlineLevel="0" collapsed="false">
      <c r="A45" s="93" t="s">
        <v>1476</v>
      </c>
      <c r="B45" s="105"/>
      <c r="C45" s="105"/>
      <c r="D45" s="105"/>
      <c r="E45" s="106"/>
      <c r="F45" s="105"/>
      <c r="G45" s="106"/>
      <c r="H45" s="106"/>
      <c r="I45" s="96" t="str">
        <f aca="false">IF(OR(G45="",H45=""),"",G45*H45)</f>
        <v/>
      </c>
      <c r="J45" s="99" t="str">
        <f aca="false">IF(I45="","",IF(I45&gt;=15,"Crítica",IF(I45&gt;=9,"Alta",IF(I45&gt;=4,"Média","Baixa"))))</f>
        <v/>
      </c>
      <c r="K45" s="105"/>
      <c r="L45" s="105"/>
      <c r="M45" s="106"/>
      <c r="N45" s="96" t="str">
        <f aca="false">IF(B45="","",COUNTIF('Sensibilizando - Soluções'!$C$5:$C$500,A45&amp;"*"))</f>
        <v/>
      </c>
      <c r="O45" s="107"/>
      <c r="P45" s="105"/>
      <c r="Q45" s="105"/>
      <c r="R45" s="100" t="str">
        <f aca="false">IF(B45="","",A45&amp;" · "&amp;B45)</f>
        <v/>
      </c>
    </row>
    <row r="46" customFormat="false" ht="15" hidden="false" customHeight="false" outlineLevel="0" collapsed="false">
      <c r="A46" s="101" t="s">
        <v>1477</v>
      </c>
      <c r="B46" s="102"/>
      <c r="C46" s="102"/>
      <c r="D46" s="102"/>
      <c r="E46" s="103"/>
      <c r="F46" s="102"/>
      <c r="G46" s="103"/>
      <c r="H46" s="103"/>
      <c r="I46" s="96" t="str">
        <f aca="false">IF(OR(G46="",H46=""),"",G46*H46)</f>
        <v/>
      </c>
      <c r="J46" s="99" t="str">
        <f aca="false">IF(I46="","",IF(I46&gt;=15,"Crítica",IF(I46&gt;=9,"Alta",IF(I46&gt;=4,"Média","Baixa"))))</f>
        <v/>
      </c>
      <c r="K46" s="102"/>
      <c r="L46" s="102"/>
      <c r="M46" s="103"/>
      <c r="N46" s="96" t="str">
        <f aca="false">IF(B46="","",COUNTIF('Sensibilizando - Soluções'!$C$5:$C$500,A46&amp;"*"))</f>
        <v/>
      </c>
      <c r="O46" s="104"/>
      <c r="P46" s="102"/>
      <c r="Q46" s="102"/>
      <c r="R46" s="100" t="str">
        <f aca="false">IF(B46="","",A46&amp;" · "&amp;B46)</f>
        <v/>
      </c>
    </row>
    <row r="47" customFormat="false" ht="15" hidden="false" customHeight="false" outlineLevel="0" collapsed="false">
      <c r="A47" s="93" t="s">
        <v>1478</v>
      </c>
      <c r="B47" s="105"/>
      <c r="C47" s="105"/>
      <c r="D47" s="105"/>
      <c r="E47" s="106"/>
      <c r="F47" s="105"/>
      <c r="G47" s="106"/>
      <c r="H47" s="106"/>
      <c r="I47" s="96" t="str">
        <f aca="false">IF(OR(G47="",H47=""),"",G47*H47)</f>
        <v/>
      </c>
      <c r="J47" s="99" t="str">
        <f aca="false">IF(I47="","",IF(I47&gt;=15,"Crítica",IF(I47&gt;=9,"Alta",IF(I47&gt;=4,"Média","Baixa"))))</f>
        <v/>
      </c>
      <c r="K47" s="105"/>
      <c r="L47" s="105"/>
      <c r="M47" s="106"/>
      <c r="N47" s="96" t="str">
        <f aca="false">IF(B47="","",COUNTIF('Sensibilizando - Soluções'!$C$5:$C$500,A47&amp;"*"))</f>
        <v/>
      </c>
      <c r="O47" s="107"/>
      <c r="P47" s="105"/>
      <c r="Q47" s="105"/>
      <c r="R47" s="100" t="str">
        <f aca="false">IF(B47="","",A47&amp;" · "&amp;B47)</f>
        <v/>
      </c>
    </row>
    <row r="48" customFormat="false" ht="15" hidden="false" customHeight="false" outlineLevel="0" collapsed="false">
      <c r="A48" s="101" t="s">
        <v>1479</v>
      </c>
      <c r="B48" s="102"/>
      <c r="C48" s="102"/>
      <c r="D48" s="102"/>
      <c r="E48" s="103"/>
      <c r="F48" s="102"/>
      <c r="G48" s="103"/>
      <c r="H48" s="103"/>
      <c r="I48" s="96" t="str">
        <f aca="false">IF(OR(G48="",H48=""),"",G48*H48)</f>
        <v/>
      </c>
      <c r="J48" s="99" t="str">
        <f aca="false">IF(I48="","",IF(I48&gt;=15,"Crítica",IF(I48&gt;=9,"Alta",IF(I48&gt;=4,"Média","Baixa"))))</f>
        <v/>
      </c>
      <c r="K48" s="102"/>
      <c r="L48" s="102"/>
      <c r="M48" s="103"/>
      <c r="N48" s="96" t="str">
        <f aca="false">IF(B48="","",COUNTIF('Sensibilizando - Soluções'!$C$5:$C$500,A48&amp;"*"))</f>
        <v/>
      </c>
      <c r="O48" s="104"/>
      <c r="P48" s="102"/>
      <c r="Q48" s="102"/>
      <c r="R48" s="100" t="str">
        <f aca="false">IF(B48="","",A48&amp;" · "&amp;B48)</f>
        <v/>
      </c>
    </row>
    <row r="49" customFormat="false" ht="15" hidden="false" customHeight="false" outlineLevel="0" collapsed="false">
      <c r="A49" s="93" t="s">
        <v>1480</v>
      </c>
      <c r="B49" s="105"/>
      <c r="C49" s="105"/>
      <c r="D49" s="105"/>
      <c r="E49" s="106"/>
      <c r="F49" s="105"/>
      <c r="G49" s="106"/>
      <c r="H49" s="106"/>
      <c r="I49" s="96" t="str">
        <f aca="false">IF(OR(G49="",H49=""),"",G49*H49)</f>
        <v/>
      </c>
      <c r="J49" s="99" t="str">
        <f aca="false">IF(I49="","",IF(I49&gt;=15,"Crítica",IF(I49&gt;=9,"Alta",IF(I49&gt;=4,"Média","Baixa"))))</f>
        <v/>
      </c>
      <c r="K49" s="105"/>
      <c r="L49" s="105"/>
      <c r="M49" s="106"/>
      <c r="N49" s="96" t="str">
        <f aca="false">IF(B49="","",COUNTIF('Sensibilizando - Soluções'!$C$5:$C$500,A49&amp;"*"))</f>
        <v/>
      </c>
      <c r="O49" s="107"/>
      <c r="P49" s="105"/>
      <c r="Q49" s="105"/>
      <c r="R49" s="100" t="str">
        <f aca="false">IF(B49="","",A49&amp;" · "&amp;B49)</f>
        <v/>
      </c>
    </row>
    <row r="50" customFormat="false" ht="15" hidden="false" customHeight="false" outlineLevel="0" collapsed="false">
      <c r="A50" s="101" t="s">
        <v>1481</v>
      </c>
      <c r="B50" s="102"/>
      <c r="C50" s="102"/>
      <c r="D50" s="102"/>
      <c r="E50" s="103"/>
      <c r="F50" s="102"/>
      <c r="G50" s="103"/>
      <c r="H50" s="103"/>
      <c r="I50" s="96" t="str">
        <f aca="false">IF(OR(G50="",H50=""),"",G50*H50)</f>
        <v/>
      </c>
      <c r="J50" s="99" t="str">
        <f aca="false">IF(I50="","",IF(I50&gt;=15,"Crítica",IF(I50&gt;=9,"Alta",IF(I50&gt;=4,"Média","Baixa"))))</f>
        <v/>
      </c>
      <c r="K50" s="102"/>
      <c r="L50" s="102"/>
      <c r="M50" s="103"/>
      <c r="N50" s="96" t="str">
        <f aca="false">IF(B50="","",COUNTIF('Sensibilizando - Soluções'!$C$5:$C$500,A50&amp;"*"))</f>
        <v/>
      </c>
      <c r="O50" s="104"/>
      <c r="P50" s="102"/>
      <c r="Q50" s="102"/>
      <c r="R50" s="100" t="str">
        <f aca="false">IF(B50="","",A50&amp;" · "&amp;B50)</f>
        <v/>
      </c>
    </row>
    <row r="51" customFormat="false" ht="15" hidden="false" customHeight="false" outlineLevel="0" collapsed="false">
      <c r="A51" s="93" t="s">
        <v>1482</v>
      </c>
      <c r="B51" s="105"/>
      <c r="C51" s="105"/>
      <c r="D51" s="105"/>
      <c r="E51" s="106"/>
      <c r="F51" s="105"/>
      <c r="G51" s="106"/>
      <c r="H51" s="106"/>
      <c r="I51" s="96" t="str">
        <f aca="false">IF(OR(G51="",H51=""),"",G51*H51)</f>
        <v/>
      </c>
      <c r="J51" s="99" t="str">
        <f aca="false">IF(I51="","",IF(I51&gt;=15,"Crítica",IF(I51&gt;=9,"Alta",IF(I51&gt;=4,"Média","Baixa"))))</f>
        <v/>
      </c>
      <c r="K51" s="105"/>
      <c r="L51" s="105"/>
      <c r="M51" s="106"/>
      <c r="N51" s="96" t="str">
        <f aca="false">IF(B51="","",COUNTIF('Sensibilizando - Soluções'!$C$5:$C$500,A51&amp;"*"))</f>
        <v/>
      </c>
      <c r="O51" s="107"/>
      <c r="P51" s="105"/>
      <c r="Q51" s="105"/>
      <c r="R51" s="100" t="str">
        <f aca="false">IF(B51="","",A51&amp;" · "&amp;B51)</f>
        <v/>
      </c>
    </row>
    <row r="52" customFormat="false" ht="15" hidden="false" customHeight="false" outlineLevel="0" collapsed="false">
      <c r="A52" s="101" t="s">
        <v>1483</v>
      </c>
      <c r="B52" s="102"/>
      <c r="C52" s="102"/>
      <c r="D52" s="102"/>
      <c r="E52" s="103"/>
      <c r="F52" s="102"/>
      <c r="G52" s="103"/>
      <c r="H52" s="103"/>
      <c r="I52" s="96" t="str">
        <f aca="false">IF(OR(G52="",H52=""),"",G52*H52)</f>
        <v/>
      </c>
      <c r="J52" s="99" t="str">
        <f aca="false">IF(I52="","",IF(I52&gt;=15,"Crítica",IF(I52&gt;=9,"Alta",IF(I52&gt;=4,"Média","Baixa"))))</f>
        <v/>
      </c>
      <c r="K52" s="102"/>
      <c r="L52" s="102"/>
      <c r="M52" s="103"/>
      <c r="N52" s="96" t="str">
        <f aca="false">IF(B52="","",COUNTIF('Sensibilizando - Soluções'!$C$5:$C$500,A52&amp;"*"))</f>
        <v/>
      </c>
      <c r="O52" s="104"/>
      <c r="P52" s="102"/>
      <c r="Q52" s="102"/>
      <c r="R52" s="100" t="str">
        <f aca="false">IF(B52="","",A52&amp;" · "&amp;B52)</f>
        <v/>
      </c>
    </row>
    <row r="53" customFormat="false" ht="15" hidden="false" customHeight="false" outlineLevel="0" collapsed="false">
      <c r="A53" s="93" t="s">
        <v>1484</v>
      </c>
      <c r="B53" s="105"/>
      <c r="C53" s="105"/>
      <c r="D53" s="105"/>
      <c r="E53" s="106"/>
      <c r="F53" s="105"/>
      <c r="G53" s="106"/>
      <c r="H53" s="106"/>
      <c r="I53" s="96" t="str">
        <f aca="false">IF(OR(G53="",H53=""),"",G53*H53)</f>
        <v/>
      </c>
      <c r="J53" s="99" t="str">
        <f aca="false">IF(I53="","",IF(I53&gt;=15,"Crítica",IF(I53&gt;=9,"Alta",IF(I53&gt;=4,"Média","Baixa"))))</f>
        <v/>
      </c>
      <c r="K53" s="105"/>
      <c r="L53" s="105"/>
      <c r="M53" s="106"/>
      <c r="N53" s="96" t="str">
        <f aca="false">IF(B53="","",COUNTIF('Sensibilizando - Soluções'!$C$5:$C$500,A53&amp;"*"))</f>
        <v/>
      </c>
      <c r="O53" s="107"/>
      <c r="P53" s="105"/>
      <c r="Q53" s="105"/>
      <c r="R53" s="100" t="str">
        <f aca="false">IF(B53="","",A53&amp;" · "&amp;B53)</f>
        <v/>
      </c>
    </row>
    <row r="54" customFormat="false" ht="15" hidden="false" customHeight="false" outlineLevel="0" collapsed="false">
      <c r="A54" s="101" t="s">
        <v>1485</v>
      </c>
      <c r="B54" s="102"/>
      <c r="C54" s="102"/>
      <c r="D54" s="102"/>
      <c r="E54" s="103"/>
      <c r="F54" s="102"/>
      <c r="G54" s="103"/>
      <c r="H54" s="103"/>
      <c r="I54" s="96" t="str">
        <f aca="false">IF(OR(G54="",H54=""),"",G54*H54)</f>
        <v/>
      </c>
      <c r="J54" s="99" t="str">
        <f aca="false">IF(I54="","",IF(I54&gt;=15,"Crítica",IF(I54&gt;=9,"Alta",IF(I54&gt;=4,"Média","Baixa"))))</f>
        <v/>
      </c>
      <c r="K54" s="102"/>
      <c r="L54" s="102"/>
      <c r="M54" s="103"/>
      <c r="N54" s="96" t="str">
        <f aca="false">IF(B54="","",COUNTIF('Sensibilizando - Soluções'!$C$5:$C$500,A54&amp;"*"))</f>
        <v/>
      </c>
      <c r="O54" s="104"/>
      <c r="P54" s="102"/>
      <c r="Q54" s="102"/>
      <c r="R54" s="100" t="str">
        <f aca="false">IF(B54="","",A54&amp;" · "&amp;B54)</f>
        <v/>
      </c>
    </row>
    <row r="55" customFormat="false" ht="15" hidden="false" customHeight="false" outlineLevel="0" collapsed="false">
      <c r="A55" s="93" t="s">
        <v>1486</v>
      </c>
      <c r="B55" s="105"/>
      <c r="C55" s="105"/>
      <c r="D55" s="105"/>
      <c r="E55" s="106"/>
      <c r="F55" s="105"/>
      <c r="G55" s="106"/>
      <c r="H55" s="106"/>
      <c r="I55" s="96" t="str">
        <f aca="false">IF(OR(G55="",H55=""),"",G55*H55)</f>
        <v/>
      </c>
      <c r="J55" s="99" t="str">
        <f aca="false">IF(I55="","",IF(I55&gt;=15,"Crítica",IF(I55&gt;=9,"Alta",IF(I55&gt;=4,"Média","Baixa"))))</f>
        <v/>
      </c>
      <c r="K55" s="105"/>
      <c r="L55" s="105"/>
      <c r="M55" s="106"/>
      <c r="N55" s="96" t="str">
        <f aca="false">IF(B55="","",COUNTIF('Sensibilizando - Soluções'!$C$5:$C$500,A55&amp;"*"))</f>
        <v/>
      </c>
      <c r="O55" s="107"/>
      <c r="P55" s="105"/>
      <c r="Q55" s="105"/>
      <c r="R55" s="100" t="str">
        <f aca="false">IF(B55="","",A55&amp;" · "&amp;B55)</f>
        <v/>
      </c>
    </row>
    <row r="56" customFormat="false" ht="15" hidden="false" customHeight="false" outlineLevel="0" collapsed="false">
      <c r="A56" s="101" t="s">
        <v>1487</v>
      </c>
      <c r="B56" s="102"/>
      <c r="C56" s="102"/>
      <c r="D56" s="102"/>
      <c r="E56" s="103"/>
      <c r="F56" s="102"/>
      <c r="G56" s="103"/>
      <c r="H56" s="103"/>
      <c r="I56" s="96" t="str">
        <f aca="false">IF(OR(G56="",H56=""),"",G56*H56)</f>
        <v/>
      </c>
      <c r="J56" s="99" t="str">
        <f aca="false">IF(I56="","",IF(I56&gt;=15,"Crítica",IF(I56&gt;=9,"Alta",IF(I56&gt;=4,"Média","Baixa"))))</f>
        <v/>
      </c>
      <c r="K56" s="102"/>
      <c r="L56" s="102"/>
      <c r="M56" s="103"/>
      <c r="N56" s="96" t="str">
        <f aca="false">IF(B56="","",COUNTIF('Sensibilizando - Soluções'!$C$5:$C$500,A56&amp;"*"))</f>
        <v/>
      </c>
      <c r="O56" s="104"/>
      <c r="P56" s="102"/>
      <c r="Q56" s="102"/>
      <c r="R56" s="100" t="str">
        <f aca="false">IF(B56="","",A56&amp;" · "&amp;B56)</f>
        <v/>
      </c>
    </row>
    <row r="57" customFormat="false" ht="15" hidden="false" customHeight="false" outlineLevel="0" collapsed="false">
      <c r="A57" s="93" t="s">
        <v>1488</v>
      </c>
      <c r="B57" s="105"/>
      <c r="C57" s="105"/>
      <c r="D57" s="105"/>
      <c r="E57" s="106"/>
      <c r="F57" s="105"/>
      <c r="G57" s="106"/>
      <c r="H57" s="106"/>
      <c r="I57" s="96" t="str">
        <f aca="false">IF(OR(G57="",H57=""),"",G57*H57)</f>
        <v/>
      </c>
      <c r="J57" s="99" t="str">
        <f aca="false">IF(I57="","",IF(I57&gt;=15,"Crítica",IF(I57&gt;=9,"Alta",IF(I57&gt;=4,"Média","Baixa"))))</f>
        <v/>
      </c>
      <c r="K57" s="105"/>
      <c r="L57" s="105"/>
      <c r="M57" s="106"/>
      <c r="N57" s="96" t="str">
        <f aca="false">IF(B57="","",COUNTIF('Sensibilizando - Soluções'!$C$5:$C$500,A57&amp;"*"))</f>
        <v/>
      </c>
      <c r="O57" s="107"/>
      <c r="P57" s="105"/>
      <c r="Q57" s="105"/>
      <c r="R57" s="100" t="str">
        <f aca="false">IF(B57="","",A57&amp;" · "&amp;B57)</f>
        <v/>
      </c>
    </row>
    <row r="58" customFormat="false" ht="15" hidden="false" customHeight="false" outlineLevel="0" collapsed="false">
      <c r="A58" s="101" t="s">
        <v>1489</v>
      </c>
      <c r="B58" s="102"/>
      <c r="C58" s="102"/>
      <c r="D58" s="102"/>
      <c r="E58" s="103"/>
      <c r="F58" s="102"/>
      <c r="G58" s="103"/>
      <c r="H58" s="103"/>
      <c r="I58" s="96" t="str">
        <f aca="false">IF(OR(G58="",H58=""),"",G58*H58)</f>
        <v/>
      </c>
      <c r="J58" s="99" t="str">
        <f aca="false">IF(I58="","",IF(I58&gt;=15,"Crítica",IF(I58&gt;=9,"Alta",IF(I58&gt;=4,"Média","Baixa"))))</f>
        <v/>
      </c>
      <c r="K58" s="102"/>
      <c r="L58" s="102"/>
      <c r="M58" s="103"/>
      <c r="N58" s="96" t="str">
        <f aca="false">IF(B58="","",COUNTIF('Sensibilizando - Soluções'!$C$5:$C$500,A58&amp;"*"))</f>
        <v/>
      </c>
      <c r="O58" s="104"/>
      <c r="P58" s="102"/>
      <c r="Q58" s="102"/>
      <c r="R58" s="100" t="str">
        <f aca="false">IF(B58="","",A58&amp;" · "&amp;B58)</f>
        <v/>
      </c>
    </row>
    <row r="59" customFormat="false" ht="15" hidden="false" customHeight="false" outlineLevel="0" collapsed="false">
      <c r="A59" s="93" t="s">
        <v>1490</v>
      </c>
      <c r="B59" s="105"/>
      <c r="C59" s="105"/>
      <c r="D59" s="105"/>
      <c r="E59" s="106"/>
      <c r="F59" s="105"/>
      <c r="G59" s="106"/>
      <c r="H59" s="106"/>
      <c r="I59" s="96" t="str">
        <f aca="false">IF(OR(G59="",H59=""),"",G59*H59)</f>
        <v/>
      </c>
      <c r="J59" s="99" t="str">
        <f aca="false">IF(I59="","",IF(I59&gt;=15,"Crítica",IF(I59&gt;=9,"Alta",IF(I59&gt;=4,"Média","Baixa"))))</f>
        <v/>
      </c>
      <c r="K59" s="105"/>
      <c r="L59" s="105"/>
      <c r="M59" s="106"/>
      <c r="N59" s="96" t="str">
        <f aca="false">IF(B59="","",COUNTIF('Sensibilizando - Soluções'!$C$5:$C$500,A59&amp;"*"))</f>
        <v/>
      </c>
      <c r="O59" s="107"/>
      <c r="P59" s="105"/>
      <c r="Q59" s="105"/>
      <c r="R59" s="100" t="str">
        <f aca="false">IF(B59="","",A59&amp;" · "&amp;B59)</f>
        <v/>
      </c>
    </row>
    <row r="60" customFormat="false" ht="15" hidden="false" customHeight="false" outlineLevel="0" collapsed="false">
      <c r="A60" s="101" t="s">
        <v>1491</v>
      </c>
      <c r="B60" s="102"/>
      <c r="C60" s="102"/>
      <c r="D60" s="102"/>
      <c r="E60" s="103"/>
      <c r="F60" s="102"/>
      <c r="G60" s="103"/>
      <c r="H60" s="103"/>
      <c r="I60" s="96" t="str">
        <f aca="false">IF(OR(G60="",H60=""),"",G60*H60)</f>
        <v/>
      </c>
      <c r="J60" s="99" t="str">
        <f aca="false">IF(I60="","",IF(I60&gt;=15,"Crítica",IF(I60&gt;=9,"Alta",IF(I60&gt;=4,"Média","Baixa"))))</f>
        <v/>
      </c>
      <c r="K60" s="102"/>
      <c r="L60" s="102"/>
      <c r="M60" s="103"/>
      <c r="N60" s="96" t="str">
        <f aca="false">IF(B60="","",COUNTIF('Sensibilizando - Soluções'!$C$5:$C$500,A60&amp;"*"))</f>
        <v/>
      </c>
      <c r="O60" s="104"/>
      <c r="P60" s="102"/>
      <c r="Q60" s="102"/>
      <c r="R60" s="100" t="str">
        <f aca="false">IF(B60="","",A60&amp;" · "&amp;B60)</f>
        <v/>
      </c>
    </row>
    <row r="61" customFormat="false" ht="15" hidden="false" customHeight="false" outlineLevel="0" collapsed="false">
      <c r="A61" s="93" t="s">
        <v>1492</v>
      </c>
      <c r="B61" s="105"/>
      <c r="C61" s="105"/>
      <c r="D61" s="105"/>
      <c r="E61" s="106"/>
      <c r="F61" s="105"/>
      <c r="G61" s="106"/>
      <c r="H61" s="106"/>
      <c r="I61" s="96" t="str">
        <f aca="false">IF(OR(G61="",H61=""),"",G61*H61)</f>
        <v/>
      </c>
      <c r="J61" s="99" t="str">
        <f aca="false">IF(I61="","",IF(I61&gt;=15,"Crítica",IF(I61&gt;=9,"Alta",IF(I61&gt;=4,"Média","Baixa"))))</f>
        <v/>
      </c>
      <c r="K61" s="105"/>
      <c r="L61" s="105"/>
      <c r="M61" s="106"/>
      <c r="N61" s="96" t="str">
        <f aca="false">IF(B61="","",COUNTIF('Sensibilizando - Soluções'!$C$5:$C$500,A61&amp;"*"))</f>
        <v/>
      </c>
      <c r="O61" s="107"/>
      <c r="P61" s="105"/>
      <c r="Q61" s="105"/>
      <c r="R61" s="100" t="str">
        <f aca="false">IF(B61="","",A61&amp;" · "&amp;B61)</f>
        <v/>
      </c>
    </row>
    <row r="62" customFormat="false" ht="15" hidden="false" customHeight="false" outlineLevel="0" collapsed="false">
      <c r="A62" s="101" t="s">
        <v>1493</v>
      </c>
      <c r="B62" s="102"/>
      <c r="C62" s="102"/>
      <c r="D62" s="102"/>
      <c r="E62" s="103"/>
      <c r="F62" s="102"/>
      <c r="G62" s="103"/>
      <c r="H62" s="103"/>
      <c r="I62" s="96" t="str">
        <f aca="false">IF(OR(G62="",H62=""),"",G62*H62)</f>
        <v/>
      </c>
      <c r="J62" s="99" t="str">
        <f aca="false">IF(I62="","",IF(I62&gt;=15,"Crítica",IF(I62&gt;=9,"Alta",IF(I62&gt;=4,"Média","Baixa"))))</f>
        <v/>
      </c>
      <c r="K62" s="102"/>
      <c r="L62" s="102"/>
      <c r="M62" s="103"/>
      <c r="N62" s="96" t="str">
        <f aca="false">IF(B62="","",COUNTIF('Sensibilizando - Soluções'!$C$5:$C$500,A62&amp;"*"))</f>
        <v/>
      </c>
      <c r="O62" s="104"/>
      <c r="P62" s="102"/>
      <c r="Q62" s="102"/>
      <c r="R62" s="100" t="str">
        <f aca="false">IF(B62="","",A62&amp;" · "&amp;B62)</f>
        <v/>
      </c>
    </row>
    <row r="63" customFormat="false" ht="15" hidden="false" customHeight="false" outlineLevel="0" collapsed="false">
      <c r="A63" s="93" t="s">
        <v>1494</v>
      </c>
      <c r="B63" s="105"/>
      <c r="C63" s="105"/>
      <c r="D63" s="105"/>
      <c r="E63" s="106"/>
      <c r="F63" s="105"/>
      <c r="G63" s="106"/>
      <c r="H63" s="106"/>
      <c r="I63" s="96" t="str">
        <f aca="false">IF(OR(G63="",H63=""),"",G63*H63)</f>
        <v/>
      </c>
      <c r="J63" s="99" t="str">
        <f aca="false">IF(I63="","",IF(I63&gt;=15,"Crítica",IF(I63&gt;=9,"Alta",IF(I63&gt;=4,"Média","Baixa"))))</f>
        <v/>
      </c>
      <c r="K63" s="105"/>
      <c r="L63" s="105"/>
      <c r="M63" s="106"/>
      <c r="N63" s="96" t="str">
        <f aca="false">IF(B63="","",COUNTIF('Sensibilizando - Soluções'!$C$5:$C$500,A63&amp;"*"))</f>
        <v/>
      </c>
      <c r="O63" s="107"/>
      <c r="P63" s="105"/>
      <c r="Q63" s="105"/>
      <c r="R63" s="100" t="str">
        <f aca="false">IF(B63="","",A63&amp;" · "&amp;B63)</f>
        <v/>
      </c>
    </row>
    <row r="64" customFormat="false" ht="15" hidden="false" customHeight="false" outlineLevel="0" collapsed="false">
      <c r="A64" s="101" t="s">
        <v>1495</v>
      </c>
      <c r="B64" s="102"/>
      <c r="C64" s="102"/>
      <c r="D64" s="102"/>
      <c r="E64" s="103"/>
      <c r="F64" s="102"/>
      <c r="G64" s="103"/>
      <c r="H64" s="103"/>
      <c r="I64" s="96" t="str">
        <f aca="false">IF(OR(G64="",H64=""),"",G64*H64)</f>
        <v/>
      </c>
      <c r="J64" s="99" t="str">
        <f aca="false">IF(I64="","",IF(I64&gt;=15,"Crítica",IF(I64&gt;=9,"Alta",IF(I64&gt;=4,"Média","Baixa"))))</f>
        <v/>
      </c>
      <c r="K64" s="102"/>
      <c r="L64" s="102"/>
      <c r="M64" s="103"/>
      <c r="N64" s="96" t="str">
        <f aca="false">IF(B64="","",COUNTIF('Sensibilizando - Soluções'!$C$5:$C$500,A64&amp;"*"))</f>
        <v/>
      </c>
      <c r="O64" s="104"/>
      <c r="P64" s="102"/>
      <c r="Q64" s="102"/>
      <c r="R64" s="100" t="str">
        <f aca="false">IF(B64="","",A64&amp;" · "&amp;B64)</f>
        <v/>
      </c>
    </row>
    <row r="65" customFormat="false" ht="15" hidden="false" customHeight="false" outlineLevel="0" collapsed="false">
      <c r="A65" s="93" t="s">
        <v>1496</v>
      </c>
      <c r="B65" s="105"/>
      <c r="C65" s="105"/>
      <c r="D65" s="105"/>
      <c r="E65" s="106"/>
      <c r="F65" s="105"/>
      <c r="G65" s="106"/>
      <c r="H65" s="106"/>
      <c r="I65" s="96" t="str">
        <f aca="false">IF(OR(G65="",H65=""),"",G65*H65)</f>
        <v/>
      </c>
      <c r="J65" s="99" t="str">
        <f aca="false">IF(I65="","",IF(I65&gt;=15,"Crítica",IF(I65&gt;=9,"Alta",IF(I65&gt;=4,"Média","Baixa"))))</f>
        <v/>
      </c>
      <c r="K65" s="105"/>
      <c r="L65" s="105"/>
      <c r="M65" s="106"/>
      <c r="N65" s="96" t="str">
        <f aca="false">IF(B65="","",COUNTIF('Sensibilizando - Soluções'!$C$5:$C$500,A65&amp;"*"))</f>
        <v/>
      </c>
      <c r="O65" s="107"/>
      <c r="P65" s="105"/>
      <c r="Q65" s="105"/>
      <c r="R65" s="100" t="str">
        <f aca="false">IF(B65="","",A65&amp;" · "&amp;B65)</f>
        <v/>
      </c>
    </row>
    <row r="66" customFormat="false" ht="15" hidden="false" customHeight="false" outlineLevel="0" collapsed="false">
      <c r="A66" s="101" t="s">
        <v>1497</v>
      </c>
      <c r="B66" s="102"/>
      <c r="C66" s="102"/>
      <c r="D66" s="102"/>
      <c r="E66" s="103"/>
      <c r="F66" s="102"/>
      <c r="G66" s="103"/>
      <c r="H66" s="103"/>
      <c r="I66" s="96" t="str">
        <f aca="false">IF(OR(G66="",H66=""),"",G66*H66)</f>
        <v/>
      </c>
      <c r="J66" s="99" t="str">
        <f aca="false">IF(I66="","",IF(I66&gt;=15,"Crítica",IF(I66&gt;=9,"Alta",IF(I66&gt;=4,"Média","Baixa"))))</f>
        <v/>
      </c>
      <c r="K66" s="102"/>
      <c r="L66" s="102"/>
      <c r="M66" s="103"/>
      <c r="N66" s="96" t="str">
        <f aca="false">IF(B66="","",COUNTIF('Sensibilizando - Soluções'!$C$5:$C$500,A66&amp;"*"))</f>
        <v/>
      </c>
      <c r="O66" s="104"/>
      <c r="P66" s="102"/>
      <c r="Q66" s="102"/>
      <c r="R66" s="100" t="str">
        <f aca="false">IF(B66="","",A66&amp;" · "&amp;B66)</f>
        <v/>
      </c>
    </row>
    <row r="67" customFormat="false" ht="15" hidden="false" customHeight="false" outlineLevel="0" collapsed="false">
      <c r="A67" s="93" t="s">
        <v>1498</v>
      </c>
      <c r="B67" s="105"/>
      <c r="C67" s="105"/>
      <c r="D67" s="105"/>
      <c r="E67" s="106"/>
      <c r="F67" s="105"/>
      <c r="G67" s="106"/>
      <c r="H67" s="106"/>
      <c r="I67" s="96" t="str">
        <f aca="false">IF(OR(G67="",H67=""),"",G67*H67)</f>
        <v/>
      </c>
      <c r="J67" s="99" t="str">
        <f aca="false">IF(I67="","",IF(I67&gt;=15,"Crítica",IF(I67&gt;=9,"Alta",IF(I67&gt;=4,"Média","Baixa"))))</f>
        <v/>
      </c>
      <c r="K67" s="105"/>
      <c r="L67" s="105"/>
      <c r="M67" s="106"/>
      <c r="N67" s="96" t="str">
        <f aca="false">IF(B67="","",COUNTIF('Sensibilizando - Soluções'!$C$5:$C$500,A67&amp;"*"))</f>
        <v/>
      </c>
      <c r="O67" s="107"/>
      <c r="P67" s="105"/>
      <c r="Q67" s="105"/>
      <c r="R67" s="100" t="str">
        <f aca="false">IF(B67="","",A67&amp;" · "&amp;B67)</f>
        <v/>
      </c>
    </row>
    <row r="68" customFormat="false" ht="15" hidden="false" customHeight="false" outlineLevel="0" collapsed="false">
      <c r="A68" s="101" t="s">
        <v>1499</v>
      </c>
      <c r="B68" s="102"/>
      <c r="C68" s="102"/>
      <c r="D68" s="102"/>
      <c r="E68" s="103"/>
      <c r="F68" s="102"/>
      <c r="G68" s="103"/>
      <c r="H68" s="103"/>
      <c r="I68" s="96" t="str">
        <f aca="false">IF(OR(G68="",H68=""),"",G68*H68)</f>
        <v/>
      </c>
      <c r="J68" s="99" t="str">
        <f aca="false">IF(I68="","",IF(I68&gt;=15,"Crítica",IF(I68&gt;=9,"Alta",IF(I68&gt;=4,"Média","Baixa"))))</f>
        <v/>
      </c>
      <c r="K68" s="102"/>
      <c r="L68" s="102"/>
      <c r="M68" s="103"/>
      <c r="N68" s="96" t="str">
        <f aca="false">IF(B68="","",COUNTIF('Sensibilizando - Soluções'!$C$5:$C$500,A68&amp;"*"))</f>
        <v/>
      </c>
      <c r="O68" s="104"/>
      <c r="P68" s="102"/>
      <c r="Q68" s="102"/>
      <c r="R68" s="100" t="str">
        <f aca="false">IF(B68="","",A68&amp;" · "&amp;B68)</f>
        <v/>
      </c>
    </row>
    <row r="69" customFormat="false" ht="15" hidden="false" customHeight="false" outlineLevel="0" collapsed="false">
      <c r="A69" s="93" t="s">
        <v>1500</v>
      </c>
      <c r="B69" s="105"/>
      <c r="C69" s="105"/>
      <c r="D69" s="105"/>
      <c r="E69" s="106"/>
      <c r="F69" s="105"/>
      <c r="G69" s="106"/>
      <c r="H69" s="106"/>
      <c r="I69" s="96" t="str">
        <f aca="false">IF(OR(G69="",H69=""),"",G69*H69)</f>
        <v/>
      </c>
      <c r="J69" s="99" t="str">
        <f aca="false">IF(I69="","",IF(I69&gt;=15,"Crítica",IF(I69&gt;=9,"Alta",IF(I69&gt;=4,"Média","Baixa"))))</f>
        <v/>
      </c>
      <c r="K69" s="105"/>
      <c r="L69" s="105"/>
      <c r="M69" s="106"/>
      <c r="N69" s="96" t="str">
        <f aca="false">IF(B69="","",COUNTIF('Sensibilizando - Soluções'!$C$5:$C$500,A69&amp;"*"))</f>
        <v/>
      </c>
      <c r="O69" s="107"/>
      <c r="P69" s="105"/>
      <c r="Q69" s="105"/>
      <c r="R69" s="100" t="str">
        <f aca="false">IF(B69="","",A69&amp;" · "&amp;B69)</f>
        <v/>
      </c>
    </row>
    <row r="70" customFormat="false" ht="15" hidden="false" customHeight="false" outlineLevel="0" collapsed="false">
      <c r="A70" s="101" t="s">
        <v>1501</v>
      </c>
      <c r="B70" s="102"/>
      <c r="C70" s="102"/>
      <c r="D70" s="102"/>
      <c r="E70" s="103"/>
      <c r="F70" s="102"/>
      <c r="G70" s="103"/>
      <c r="H70" s="103"/>
      <c r="I70" s="96" t="str">
        <f aca="false">IF(OR(G70="",H70=""),"",G70*H70)</f>
        <v/>
      </c>
      <c r="J70" s="99" t="str">
        <f aca="false">IF(I70="","",IF(I70&gt;=15,"Crítica",IF(I70&gt;=9,"Alta",IF(I70&gt;=4,"Média","Baixa"))))</f>
        <v/>
      </c>
      <c r="K70" s="102"/>
      <c r="L70" s="102"/>
      <c r="M70" s="103"/>
      <c r="N70" s="96" t="str">
        <f aca="false">IF(B70="","",COUNTIF('Sensibilizando - Soluções'!$C$5:$C$500,A70&amp;"*"))</f>
        <v/>
      </c>
      <c r="O70" s="104"/>
      <c r="P70" s="102"/>
      <c r="Q70" s="102"/>
      <c r="R70" s="100" t="str">
        <f aca="false">IF(B70="","",A70&amp;" · "&amp;B70)</f>
        <v/>
      </c>
    </row>
    <row r="71" customFormat="false" ht="15" hidden="false" customHeight="false" outlineLevel="0" collapsed="false">
      <c r="A71" s="93" t="s">
        <v>1502</v>
      </c>
      <c r="B71" s="105"/>
      <c r="C71" s="105"/>
      <c r="D71" s="105"/>
      <c r="E71" s="106"/>
      <c r="F71" s="105"/>
      <c r="G71" s="106"/>
      <c r="H71" s="106"/>
      <c r="I71" s="96" t="str">
        <f aca="false">IF(OR(G71="",H71=""),"",G71*H71)</f>
        <v/>
      </c>
      <c r="J71" s="99" t="str">
        <f aca="false">IF(I71="","",IF(I71&gt;=15,"Crítica",IF(I71&gt;=9,"Alta",IF(I71&gt;=4,"Média","Baixa"))))</f>
        <v/>
      </c>
      <c r="K71" s="105"/>
      <c r="L71" s="105"/>
      <c r="M71" s="106"/>
      <c r="N71" s="96" t="str">
        <f aca="false">IF(B71="","",COUNTIF('Sensibilizando - Soluções'!$C$5:$C$500,A71&amp;"*"))</f>
        <v/>
      </c>
      <c r="O71" s="107"/>
      <c r="P71" s="105"/>
      <c r="Q71" s="105"/>
      <c r="R71" s="100" t="str">
        <f aca="false">IF(B71="","",A71&amp;" · "&amp;B71)</f>
        <v/>
      </c>
    </row>
    <row r="72" customFormat="false" ht="15" hidden="false" customHeight="false" outlineLevel="0" collapsed="false">
      <c r="A72" s="101" t="s">
        <v>1503</v>
      </c>
      <c r="B72" s="102"/>
      <c r="C72" s="102"/>
      <c r="D72" s="102"/>
      <c r="E72" s="103"/>
      <c r="F72" s="102"/>
      <c r="G72" s="103"/>
      <c r="H72" s="103"/>
      <c r="I72" s="96" t="str">
        <f aca="false">IF(OR(G72="",H72=""),"",G72*H72)</f>
        <v/>
      </c>
      <c r="J72" s="99" t="str">
        <f aca="false">IF(I72="","",IF(I72&gt;=15,"Crítica",IF(I72&gt;=9,"Alta",IF(I72&gt;=4,"Média","Baixa"))))</f>
        <v/>
      </c>
      <c r="K72" s="102"/>
      <c r="L72" s="102"/>
      <c r="M72" s="103"/>
      <c r="N72" s="96" t="str">
        <f aca="false">IF(B72="","",COUNTIF('Sensibilizando - Soluções'!$C$5:$C$500,A72&amp;"*"))</f>
        <v/>
      </c>
      <c r="O72" s="104"/>
      <c r="P72" s="102"/>
      <c r="Q72" s="102"/>
      <c r="R72" s="100" t="str">
        <f aca="false">IF(B72="","",A72&amp;" · "&amp;B72)</f>
        <v/>
      </c>
    </row>
    <row r="73" customFormat="false" ht="15" hidden="false" customHeight="false" outlineLevel="0" collapsed="false">
      <c r="A73" s="93" t="s">
        <v>1504</v>
      </c>
      <c r="B73" s="105"/>
      <c r="C73" s="105"/>
      <c r="D73" s="105"/>
      <c r="E73" s="106"/>
      <c r="F73" s="105"/>
      <c r="G73" s="106"/>
      <c r="H73" s="106"/>
      <c r="I73" s="96" t="str">
        <f aca="false">IF(OR(G73="",H73=""),"",G73*H73)</f>
        <v/>
      </c>
      <c r="J73" s="99" t="str">
        <f aca="false">IF(I73="","",IF(I73&gt;=15,"Crítica",IF(I73&gt;=9,"Alta",IF(I73&gt;=4,"Média","Baixa"))))</f>
        <v/>
      </c>
      <c r="K73" s="105"/>
      <c r="L73" s="105"/>
      <c r="M73" s="106"/>
      <c r="N73" s="96" t="str">
        <f aca="false">IF(B73="","",COUNTIF('Sensibilizando - Soluções'!$C$5:$C$500,A73&amp;"*"))</f>
        <v/>
      </c>
      <c r="O73" s="107"/>
      <c r="P73" s="105"/>
      <c r="Q73" s="105"/>
      <c r="R73" s="100" t="str">
        <f aca="false">IF(B73="","",A73&amp;" · "&amp;B73)</f>
        <v/>
      </c>
    </row>
    <row r="74" customFormat="false" ht="15" hidden="false" customHeight="false" outlineLevel="0" collapsed="false">
      <c r="A74" s="101" t="s">
        <v>1505</v>
      </c>
      <c r="B74" s="102"/>
      <c r="C74" s="102"/>
      <c r="D74" s="102"/>
      <c r="E74" s="103"/>
      <c r="F74" s="102"/>
      <c r="G74" s="103"/>
      <c r="H74" s="103"/>
      <c r="I74" s="96" t="str">
        <f aca="false">IF(OR(G74="",H74=""),"",G74*H74)</f>
        <v/>
      </c>
      <c r="J74" s="99" t="str">
        <f aca="false">IF(I74="","",IF(I74&gt;=15,"Crítica",IF(I74&gt;=9,"Alta",IF(I74&gt;=4,"Média","Baixa"))))</f>
        <v/>
      </c>
      <c r="K74" s="102"/>
      <c r="L74" s="102"/>
      <c r="M74" s="103"/>
      <c r="N74" s="96" t="str">
        <f aca="false">IF(B74="","",COUNTIF('Sensibilizando - Soluções'!$C$5:$C$500,A74&amp;"*"))</f>
        <v/>
      </c>
      <c r="O74" s="104"/>
      <c r="P74" s="102"/>
      <c r="Q74" s="102"/>
      <c r="R74" s="100" t="str">
        <f aca="false">IF(B74="","",A74&amp;" · "&amp;B74)</f>
        <v/>
      </c>
    </row>
    <row r="75" customFormat="false" ht="15" hidden="false" customHeight="false" outlineLevel="0" collapsed="false">
      <c r="A75" s="93" t="s">
        <v>1506</v>
      </c>
      <c r="B75" s="105"/>
      <c r="C75" s="105"/>
      <c r="D75" s="105"/>
      <c r="E75" s="106"/>
      <c r="F75" s="105"/>
      <c r="G75" s="106"/>
      <c r="H75" s="106"/>
      <c r="I75" s="96" t="str">
        <f aca="false">IF(OR(G75="",H75=""),"",G75*H75)</f>
        <v/>
      </c>
      <c r="J75" s="99" t="str">
        <f aca="false">IF(I75="","",IF(I75&gt;=15,"Crítica",IF(I75&gt;=9,"Alta",IF(I75&gt;=4,"Média","Baixa"))))</f>
        <v/>
      </c>
      <c r="K75" s="105"/>
      <c r="L75" s="105"/>
      <c r="M75" s="106"/>
      <c r="N75" s="96" t="str">
        <f aca="false">IF(B75="","",COUNTIF('Sensibilizando - Soluções'!$C$5:$C$500,A75&amp;"*"))</f>
        <v/>
      </c>
      <c r="O75" s="107"/>
      <c r="P75" s="105"/>
      <c r="Q75" s="105"/>
      <c r="R75" s="100" t="str">
        <f aca="false">IF(B75="","",A75&amp;" · "&amp;B75)</f>
        <v/>
      </c>
    </row>
    <row r="76" customFormat="false" ht="15" hidden="false" customHeight="false" outlineLevel="0" collapsed="false">
      <c r="A76" s="101" t="s">
        <v>1507</v>
      </c>
      <c r="B76" s="102"/>
      <c r="C76" s="102"/>
      <c r="D76" s="102"/>
      <c r="E76" s="103"/>
      <c r="F76" s="102"/>
      <c r="G76" s="103"/>
      <c r="H76" s="103"/>
      <c r="I76" s="96" t="str">
        <f aca="false">IF(OR(G76="",H76=""),"",G76*H76)</f>
        <v/>
      </c>
      <c r="J76" s="99" t="str">
        <f aca="false">IF(I76="","",IF(I76&gt;=15,"Crítica",IF(I76&gt;=9,"Alta",IF(I76&gt;=4,"Média","Baixa"))))</f>
        <v/>
      </c>
      <c r="K76" s="102"/>
      <c r="L76" s="102"/>
      <c r="M76" s="103"/>
      <c r="N76" s="96" t="str">
        <f aca="false">IF(B76="","",COUNTIF('Sensibilizando - Soluções'!$C$5:$C$500,A76&amp;"*"))</f>
        <v/>
      </c>
      <c r="O76" s="104"/>
      <c r="P76" s="102"/>
      <c r="Q76" s="102"/>
      <c r="R76" s="100" t="str">
        <f aca="false">IF(B76="","",A76&amp;" · "&amp;B76)</f>
        <v/>
      </c>
    </row>
    <row r="77" customFormat="false" ht="15" hidden="false" customHeight="false" outlineLevel="0" collapsed="false">
      <c r="A77" s="93" t="s">
        <v>1508</v>
      </c>
      <c r="B77" s="105"/>
      <c r="C77" s="105"/>
      <c r="D77" s="105"/>
      <c r="E77" s="106"/>
      <c r="F77" s="105"/>
      <c r="G77" s="106"/>
      <c r="H77" s="106"/>
      <c r="I77" s="96" t="str">
        <f aca="false">IF(OR(G77="",H77=""),"",G77*H77)</f>
        <v/>
      </c>
      <c r="J77" s="99" t="str">
        <f aca="false">IF(I77="","",IF(I77&gt;=15,"Crítica",IF(I77&gt;=9,"Alta",IF(I77&gt;=4,"Média","Baixa"))))</f>
        <v/>
      </c>
      <c r="K77" s="105"/>
      <c r="L77" s="105"/>
      <c r="M77" s="106"/>
      <c r="N77" s="96" t="str">
        <f aca="false">IF(B77="","",COUNTIF('Sensibilizando - Soluções'!$C$5:$C$500,A77&amp;"*"))</f>
        <v/>
      </c>
      <c r="O77" s="107"/>
      <c r="P77" s="105"/>
      <c r="Q77" s="105"/>
      <c r="R77" s="100" t="str">
        <f aca="false">IF(B77="","",A77&amp;" · "&amp;B77)</f>
        <v/>
      </c>
    </row>
    <row r="78" customFormat="false" ht="15" hidden="false" customHeight="false" outlineLevel="0" collapsed="false">
      <c r="A78" s="101" t="s">
        <v>1509</v>
      </c>
      <c r="B78" s="102"/>
      <c r="C78" s="102"/>
      <c r="D78" s="102"/>
      <c r="E78" s="103"/>
      <c r="F78" s="102"/>
      <c r="G78" s="103"/>
      <c r="H78" s="103"/>
      <c r="I78" s="96" t="str">
        <f aca="false">IF(OR(G78="",H78=""),"",G78*H78)</f>
        <v/>
      </c>
      <c r="J78" s="99" t="str">
        <f aca="false">IF(I78="","",IF(I78&gt;=15,"Crítica",IF(I78&gt;=9,"Alta",IF(I78&gt;=4,"Média","Baixa"))))</f>
        <v/>
      </c>
      <c r="K78" s="102"/>
      <c r="L78" s="102"/>
      <c r="M78" s="103"/>
      <c r="N78" s="96" t="str">
        <f aca="false">IF(B78="","",COUNTIF('Sensibilizando - Soluções'!$C$5:$C$500,A78&amp;"*"))</f>
        <v/>
      </c>
      <c r="O78" s="104"/>
      <c r="P78" s="102"/>
      <c r="Q78" s="102"/>
      <c r="R78" s="100" t="str">
        <f aca="false">IF(B78="","",A78&amp;" · "&amp;B78)</f>
        <v/>
      </c>
    </row>
    <row r="79" customFormat="false" ht="15" hidden="false" customHeight="false" outlineLevel="0" collapsed="false">
      <c r="A79" s="93" t="s">
        <v>1510</v>
      </c>
      <c r="B79" s="105"/>
      <c r="C79" s="105"/>
      <c r="D79" s="105"/>
      <c r="E79" s="106"/>
      <c r="F79" s="105"/>
      <c r="G79" s="106"/>
      <c r="H79" s="106"/>
      <c r="I79" s="96" t="str">
        <f aca="false">IF(OR(G79="",H79=""),"",G79*H79)</f>
        <v/>
      </c>
      <c r="J79" s="99" t="str">
        <f aca="false">IF(I79="","",IF(I79&gt;=15,"Crítica",IF(I79&gt;=9,"Alta",IF(I79&gt;=4,"Média","Baixa"))))</f>
        <v/>
      </c>
      <c r="K79" s="105"/>
      <c r="L79" s="105"/>
      <c r="M79" s="106"/>
      <c r="N79" s="96" t="str">
        <f aca="false">IF(B79="","",COUNTIF('Sensibilizando - Soluções'!$C$5:$C$500,A79&amp;"*"))</f>
        <v/>
      </c>
      <c r="O79" s="107"/>
      <c r="P79" s="105"/>
      <c r="Q79" s="105"/>
      <c r="R79" s="100" t="str">
        <f aca="false">IF(B79="","",A79&amp;" · "&amp;B79)</f>
        <v/>
      </c>
    </row>
    <row r="80" customFormat="false" ht="15" hidden="false" customHeight="false" outlineLevel="0" collapsed="false">
      <c r="A80" s="101" t="s">
        <v>1511</v>
      </c>
      <c r="B80" s="102"/>
      <c r="C80" s="102"/>
      <c r="D80" s="102"/>
      <c r="E80" s="103"/>
      <c r="F80" s="102"/>
      <c r="G80" s="103"/>
      <c r="H80" s="103"/>
      <c r="I80" s="96" t="str">
        <f aca="false">IF(OR(G80="",H80=""),"",G80*H80)</f>
        <v/>
      </c>
      <c r="J80" s="99" t="str">
        <f aca="false">IF(I80="","",IF(I80&gt;=15,"Crítica",IF(I80&gt;=9,"Alta",IF(I80&gt;=4,"Média","Baixa"))))</f>
        <v/>
      </c>
      <c r="K80" s="102"/>
      <c r="L80" s="102"/>
      <c r="M80" s="103"/>
      <c r="N80" s="96" t="str">
        <f aca="false">IF(B80="","",COUNTIF('Sensibilizando - Soluções'!$C$5:$C$500,A80&amp;"*"))</f>
        <v/>
      </c>
      <c r="O80" s="104"/>
      <c r="P80" s="102"/>
      <c r="Q80" s="102"/>
      <c r="R80" s="100" t="str">
        <f aca="false">IF(B80="","",A80&amp;" · "&amp;B80)</f>
        <v/>
      </c>
    </row>
    <row r="81" customFormat="false" ht="15" hidden="false" customHeight="false" outlineLevel="0" collapsed="false">
      <c r="A81" s="93" t="s">
        <v>1512</v>
      </c>
      <c r="B81" s="105"/>
      <c r="C81" s="105"/>
      <c r="D81" s="105"/>
      <c r="E81" s="106"/>
      <c r="F81" s="105"/>
      <c r="G81" s="106"/>
      <c r="H81" s="106"/>
      <c r="I81" s="96" t="str">
        <f aca="false">IF(OR(G81="",H81=""),"",G81*H81)</f>
        <v/>
      </c>
      <c r="J81" s="99" t="str">
        <f aca="false">IF(I81="","",IF(I81&gt;=15,"Crítica",IF(I81&gt;=9,"Alta",IF(I81&gt;=4,"Média","Baixa"))))</f>
        <v/>
      </c>
      <c r="K81" s="105"/>
      <c r="L81" s="105"/>
      <c r="M81" s="106"/>
      <c r="N81" s="96" t="str">
        <f aca="false">IF(B81="","",COUNTIF('Sensibilizando - Soluções'!$C$5:$C$500,A81&amp;"*"))</f>
        <v/>
      </c>
      <c r="O81" s="107"/>
      <c r="P81" s="105"/>
      <c r="Q81" s="105"/>
      <c r="R81" s="100" t="str">
        <f aca="false">IF(B81="","",A81&amp;" · "&amp;B81)</f>
        <v/>
      </c>
    </row>
    <row r="82" customFormat="false" ht="15" hidden="false" customHeight="false" outlineLevel="0" collapsed="false">
      <c r="A82" s="101" t="s">
        <v>1513</v>
      </c>
      <c r="B82" s="102"/>
      <c r="C82" s="102"/>
      <c r="D82" s="102"/>
      <c r="E82" s="103"/>
      <c r="F82" s="102"/>
      <c r="G82" s="103"/>
      <c r="H82" s="103"/>
      <c r="I82" s="96" t="str">
        <f aca="false">IF(OR(G82="",H82=""),"",G82*H82)</f>
        <v/>
      </c>
      <c r="J82" s="99" t="str">
        <f aca="false">IF(I82="","",IF(I82&gt;=15,"Crítica",IF(I82&gt;=9,"Alta",IF(I82&gt;=4,"Média","Baixa"))))</f>
        <v/>
      </c>
      <c r="K82" s="102"/>
      <c r="L82" s="102"/>
      <c r="M82" s="103"/>
      <c r="N82" s="96" t="str">
        <f aca="false">IF(B82="","",COUNTIF('Sensibilizando - Soluções'!$C$5:$C$500,A82&amp;"*"))</f>
        <v/>
      </c>
      <c r="O82" s="104"/>
      <c r="P82" s="102"/>
      <c r="Q82" s="102"/>
      <c r="R82" s="100" t="str">
        <f aca="false">IF(B82="","",A82&amp;" · "&amp;B82)</f>
        <v/>
      </c>
    </row>
    <row r="83" customFormat="false" ht="15" hidden="false" customHeight="false" outlineLevel="0" collapsed="false">
      <c r="A83" s="93" t="s">
        <v>1514</v>
      </c>
      <c r="B83" s="105"/>
      <c r="C83" s="105"/>
      <c r="D83" s="105"/>
      <c r="E83" s="106"/>
      <c r="F83" s="105"/>
      <c r="G83" s="106"/>
      <c r="H83" s="106"/>
      <c r="I83" s="96" t="str">
        <f aca="false">IF(OR(G83="",H83=""),"",G83*H83)</f>
        <v/>
      </c>
      <c r="J83" s="99" t="str">
        <f aca="false">IF(I83="","",IF(I83&gt;=15,"Crítica",IF(I83&gt;=9,"Alta",IF(I83&gt;=4,"Média","Baixa"))))</f>
        <v/>
      </c>
      <c r="K83" s="105"/>
      <c r="L83" s="105"/>
      <c r="M83" s="106"/>
      <c r="N83" s="96" t="str">
        <f aca="false">IF(B83="","",COUNTIF('Sensibilizando - Soluções'!$C$5:$C$500,A83&amp;"*"))</f>
        <v/>
      </c>
      <c r="O83" s="107"/>
      <c r="P83" s="105"/>
      <c r="Q83" s="105"/>
      <c r="R83" s="100" t="str">
        <f aca="false">IF(B83="","",A83&amp;" · "&amp;B83)</f>
        <v/>
      </c>
    </row>
    <row r="84" customFormat="false" ht="15" hidden="false" customHeight="false" outlineLevel="0" collapsed="false">
      <c r="A84" s="101" t="s">
        <v>1515</v>
      </c>
      <c r="B84" s="102"/>
      <c r="C84" s="102"/>
      <c r="D84" s="102"/>
      <c r="E84" s="103"/>
      <c r="F84" s="102"/>
      <c r="G84" s="103"/>
      <c r="H84" s="103"/>
      <c r="I84" s="96" t="str">
        <f aca="false">IF(OR(G84="",H84=""),"",G84*H84)</f>
        <v/>
      </c>
      <c r="J84" s="99" t="str">
        <f aca="false">IF(I84="","",IF(I84&gt;=15,"Crítica",IF(I84&gt;=9,"Alta",IF(I84&gt;=4,"Média","Baixa"))))</f>
        <v/>
      </c>
      <c r="K84" s="102"/>
      <c r="L84" s="102"/>
      <c r="M84" s="103"/>
      <c r="N84" s="96" t="str">
        <f aca="false">IF(B84="","",COUNTIF('Sensibilizando - Soluções'!$C$5:$C$500,A84&amp;"*"))</f>
        <v/>
      </c>
      <c r="O84" s="104"/>
      <c r="P84" s="102"/>
      <c r="Q84" s="102"/>
      <c r="R84" s="100" t="str">
        <f aca="false">IF(B84="","",A84&amp;" · "&amp;B84)</f>
        <v/>
      </c>
    </row>
    <row r="85" customFormat="false" ht="15" hidden="false" customHeight="false" outlineLevel="0" collapsed="false">
      <c r="A85" s="93" t="s">
        <v>1516</v>
      </c>
      <c r="B85" s="105"/>
      <c r="C85" s="105"/>
      <c r="D85" s="105"/>
      <c r="E85" s="106"/>
      <c r="F85" s="105"/>
      <c r="G85" s="106"/>
      <c r="H85" s="106"/>
      <c r="I85" s="96" t="str">
        <f aca="false">IF(OR(G85="",H85=""),"",G85*H85)</f>
        <v/>
      </c>
      <c r="J85" s="99" t="str">
        <f aca="false">IF(I85="","",IF(I85&gt;=15,"Crítica",IF(I85&gt;=9,"Alta",IF(I85&gt;=4,"Média","Baixa"))))</f>
        <v/>
      </c>
      <c r="K85" s="105"/>
      <c r="L85" s="105"/>
      <c r="M85" s="106"/>
      <c r="N85" s="96" t="str">
        <f aca="false">IF(B85="","",COUNTIF('Sensibilizando - Soluções'!$C$5:$C$500,A85&amp;"*"))</f>
        <v/>
      </c>
      <c r="O85" s="107"/>
      <c r="P85" s="105"/>
      <c r="Q85" s="105"/>
      <c r="R85" s="100" t="str">
        <f aca="false">IF(B85="","",A85&amp;" · "&amp;B85)</f>
        <v/>
      </c>
    </row>
    <row r="86" customFormat="false" ht="15" hidden="false" customHeight="false" outlineLevel="0" collapsed="false">
      <c r="A86" s="101" t="s">
        <v>1517</v>
      </c>
      <c r="B86" s="102"/>
      <c r="C86" s="102"/>
      <c r="D86" s="102"/>
      <c r="E86" s="103"/>
      <c r="F86" s="102"/>
      <c r="G86" s="103"/>
      <c r="H86" s="103"/>
      <c r="I86" s="96" t="str">
        <f aca="false">IF(OR(G86="",H86=""),"",G86*H86)</f>
        <v/>
      </c>
      <c r="J86" s="99" t="str">
        <f aca="false">IF(I86="","",IF(I86&gt;=15,"Crítica",IF(I86&gt;=9,"Alta",IF(I86&gt;=4,"Média","Baixa"))))</f>
        <v/>
      </c>
      <c r="K86" s="102"/>
      <c r="L86" s="102"/>
      <c r="M86" s="103"/>
      <c r="N86" s="96" t="str">
        <f aca="false">IF(B86="","",COUNTIF('Sensibilizando - Soluções'!$C$5:$C$500,A86&amp;"*"))</f>
        <v/>
      </c>
      <c r="O86" s="104"/>
      <c r="P86" s="102"/>
      <c r="Q86" s="102"/>
      <c r="R86" s="100" t="str">
        <f aca="false">IF(B86="","",A86&amp;" · "&amp;B86)</f>
        <v/>
      </c>
    </row>
    <row r="87" customFormat="false" ht="15" hidden="false" customHeight="false" outlineLevel="0" collapsed="false">
      <c r="A87" s="93" t="s">
        <v>1518</v>
      </c>
      <c r="B87" s="105"/>
      <c r="C87" s="105"/>
      <c r="D87" s="105"/>
      <c r="E87" s="106"/>
      <c r="F87" s="105"/>
      <c r="G87" s="106"/>
      <c r="H87" s="106"/>
      <c r="I87" s="96" t="str">
        <f aca="false">IF(OR(G87="",H87=""),"",G87*H87)</f>
        <v/>
      </c>
      <c r="J87" s="99" t="str">
        <f aca="false">IF(I87="","",IF(I87&gt;=15,"Crítica",IF(I87&gt;=9,"Alta",IF(I87&gt;=4,"Média","Baixa"))))</f>
        <v/>
      </c>
      <c r="K87" s="105"/>
      <c r="L87" s="105"/>
      <c r="M87" s="106"/>
      <c r="N87" s="96" t="str">
        <f aca="false">IF(B87="","",COUNTIF('Sensibilizando - Soluções'!$C$5:$C$500,A87&amp;"*"))</f>
        <v/>
      </c>
      <c r="O87" s="107"/>
      <c r="P87" s="105"/>
      <c r="Q87" s="105"/>
      <c r="R87" s="100" t="str">
        <f aca="false">IF(B87="","",A87&amp;" · "&amp;B87)</f>
        <v/>
      </c>
    </row>
    <row r="88" customFormat="false" ht="15" hidden="false" customHeight="false" outlineLevel="0" collapsed="false">
      <c r="A88" s="101" t="s">
        <v>1519</v>
      </c>
      <c r="B88" s="102"/>
      <c r="C88" s="102"/>
      <c r="D88" s="102"/>
      <c r="E88" s="103"/>
      <c r="F88" s="102"/>
      <c r="G88" s="103"/>
      <c r="H88" s="103"/>
      <c r="I88" s="96" t="str">
        <f aca="false">IF(OR(G88="",H88=""),"",G88*H88)</f>
        <v/>
      </c>
      <c r="J88" s="99" t="str">
        <f aca="false">IF(I88="","",IF(I88&gt;=15,"Crítica",IF(I88&gt;=9,"Alta",IF(I88&gt;=4,"Média","Baixa"))))</f>
        <v/>
      </c>
      <c r="K88" s="102"/>
      <c r="L88" s="102"/>
      <c r="M88" s="103"/>
      <c r="N88" s="96" t="str">
        <f aca="false">IF(B88="","",COUNTIF('Sensibilizando - Soluções'!$C$5:$C$500,A88&amp;"*"))</f>
        <v/>
      </c>
      <c r="O88" s="104"/>
      <c r="P88" s="102"/>
      <c r="Q88" s="102"/>
      <c r="R88" s="100" t="str">
        <f aca="false">IF(B88="","",A88&amp;" · "&amp;B88)</f>
        <v/>
      </c>
    </row>
    <row r="89" customFormat="false" ht="15" hidden="false" customHeight="false" outlineLevel="0" collapsed="false">
      <c r="A89" s="93" t="s">
        <v>1520</v>
      </c>
      <c r="B89" s="105"/>
      <c r="C89" s="105"/>
      <c r="D89" s="105"/>
      <c r="E89" s="106"/>
      <c r="F89" s="105"/>
      <c r="G89" s="106"/>
      <c r="H89" s="106"/>
      <c r="I89" s="96" t="str">
        <f aca="false">IF(OR(G89="",H89=""),"",G89*H89)</f>
        <v/>
      </c>
      <c r="J89" s="99" t="str">
        <f aca="false">IF(I89="","",IF(I89&gt;=15,"Crítica",IF(I89&gt;=9,"Alta",IF(I89&gt;=4,"Média","Baixa"))))</f>
        <v/>
      </c>
      <c r="K89" s="105"/>
      <c r="L89" s="105"/>
      <c r="M89" s="106"/>
      <c r="N89" s="96" t="str">
        <f aca="false">IF(B89="","",COUNTIF('Sensibilizando - Soluções'!$C$5:$C$500,A89&amp;"*"))</f>
        <v/>
      </c>
      <c r="O89" s="107"/>
      <c r="P89" s="105"/>
      <c r="Q89" s="105"/>
      <c r="R89" s="100" t="str">
        <f aca="false">IF(B89="","",A89&amp;" · "&amp;B89)</f>
        <v/>
      </c>
    </row>
    <row r="90" customFormat="false" ht="15" hidden="false" customHeight="false" outlineLevel="0" collapsed="false">
      <c r="A90" s="101" t="s">
        <v>1521</v>
      </c>
      <c r="B90" s="102"/>
      <c r="C90" s="102"/>
      <c r="D90" s="102"/>
      <c r="E90" s="103"/>
      <c r="F90" s="102"/>
      <c r="G90" s="103"/>
      <c r="H90" s="103"/>
      <c r="I90" s="96" t="str">
        <f aca="false">IF(OR(G90="",H90=""),"",G90*H90)</f>
        <v/>
      </c>
      <c r="J90" s="99" t="str">
        <f aca="false">IF(I90="","",IF(I90&gt;=15,"Crítica",IF(I90&gt;=9,"Alta",IF(I90&gt;=4,"Média","Baixa"))))</f>
        <v/>
      </c>
      <c r="K90" s="102"/>
      <c r="L90" s="102"/>
      <c r="M90" s="103"/>
      <c r="N90" s="96" t="str">
        <f aca="false">IF(B90="","",COUNTIF('Sensibilizando - Soluções'!$C$5:$C$500,A90&amp;"*"))</f>
        <v/>
      </c>
      <c r="O90" s="104"/>
      <c r="P90" s="102"/>
      <c r="Q90" s="102"/>
      <c r="R90" s="100" t="str">
        <f aca="false">IF(B90="","",A90&amp;" · "&amp;B90)</f>
        <v/>
      </c>
    </row>
    <row r="91" customFormat="false" ht="15" hidden="false" customHeight="false" outlineLevel="0" collapsed="false">
      <c r="A91" s="93" t="s">
        <v>1522</v>
      </c>
      <c r="B91" s="105"/>
      <c r="C91" s="105"/>
      <c r="D91" s="105"/>
      <c r="E91" s="106"/>
      <c r="F91" s="105"/>
      <c r="G91" s="106"/>
      <c r="H91" s="106"/>
      <c r="I91" s="96" t="str">
        <f aca="false">IF(OR(G91="",H91=""),"",G91*H91)</f>
        <v/>
      </c>
      <c r="J91" s="99" t="str">
        <f aca="false">IF(I91="","",IF(I91&gt;=15,"Crítica",IF(I91&gt;=9,"Alta",IF(I91&gt;=4,"Média","Baixa"))))</f>
        <v/>
      </c>
      <c r="K91" s="105"/>
      <c r="L91" s="105"/>
      <c r="M91" s="106"/>
      <c r="N91" s="96" t="str">
        <f aca="false">IF(B91="","",COUNTIF('Sensibilizando - Soluções'!$C$5:$C$500,A91&amp;"*"))</f>
        <v/>
      </c>
      <c r="O91" s="107"/>
      <c r="P91" s="105"/>
      <c r="Q91" s="105"/>
      <c r="R91" s="100" t="str">
        <f aca="false">IF(B91="","",A91&amp;" · "&amp;B91)</f>
        <v/>
      </c>
    </row>
    <row r="92" customFormat="false" ht="15" hidden="false" customHeight="false" outlineLevel="0" collapsed="false">
      <c r="A92" s="101" t="s">
        <v>1523</v>
      </c>
      <c r="B92" s="102"/>
      <c r="C92" s="102"/>
      <c r="D92" s="102"/>
      <c r="E92" s="103"/>
      <c r="F92" s="102"/>
      <c r="G92" s="103"/>
      <c r="H92" s="103"/>
      <c r="I92" s="96" t="str">
        <f aca="false">IF(OR(G92="",H92=""),"",G92*H92)</f>
        <v/>
      </c>
      <c r="J92" s="99" t="str">
        <f aca="false">IF(I92="","",IF(I92&gt;=15,"Crítica",IF(I92&gt;=9,"Alta",IF(I92&gt;=4,"Média","Baixa"))))</f>
        <v/>
      </c>
      <c r="K92" s="102"/>
      <c r="L92" s="102"/>
      <c r="M92" s="103"/>
      <c r="N92" s="96" t="str">
        <f aca="false">IF(B92="","",COUNTIF('Sensibilizando - Soluções'!$C$5:$C$500,A92&amp;"*"))</f>
        <v/>
      </c>
      <c r="O92" s="104"/>
      <c r="P92" s="102"/>
      <c r="Q92" s="102"/>
      <c r="R92" s="100" t="str">
        <f aca="false">IF(B92="","",A92&amp;" · "&amp;B92)</f>
        <v/>
      </c>
    </row>
    <row r="93" customFormat="false" ht="15" hidden="false" customHeight="false" outlineLevel="0" collapsed="false">
      <c r="A93" s="93" t="s">
        <v>1524</v>
      </c>
      <c r="B93" s="105"/>
      <c r="C93" s="105"/>
      <c r="D93" s="105"/>
      <c r="E93" s="106"/>
      <c r="F93" s="105"/>
      <c r="G93" s="106"/>
      <c r="H93" s="106"/>
      <c r="I93" s="96" t="str">
        <f aca="false">IF(OR(G93="",H93=""),"",G93*H93)</f>
        <v/>
      </c>
      <c r="J93" s="99" t="str">
        <f aca="false">IF(I93="","",IF(I93&gt;=15,"Crítica",IF(I93&gt;=9,"Alta",IF(I93&gt;=4,"Média","Baixa"))))</f>
        <v/>
      </c>
      <c r="K93" s="105"/>
      <c r="L93" s="105"/>
      <c r="M93" s="106"/>
      <c r="N93" s="96" t="str">
        <f aca="false">IF(B93="","",COUNTIF('Sensibilizando - Soluções'!$C$5:$C$500,A93&amp;"*"))</f>
        <v/>
      </c>
      <c r="O93" s="107"/>
      <c r="P93" s="105"/>
      <c r="Q93" s="105"/>
      <c r="R93" s="100" t="str">
        <f aca="false">IF(B93="","",A93&amp;" · "&amp;B93)</f>
        <v/>
      </c>
    </row>
    <row r="94" customFormat="false" ht="15" hidden="false" customHeight="false" outlineLevel="0" collapsed="false">
      <c r="A94" s="101" t="s">
        <v>1525</v>
      </c>
      <c r="B94" s="102"/>
      <c r="C94" s="102"/>
      <c r="D94" s="102"/>
      <c r="E94" s="103"/>
      <c r="F94" s="102"/>
      <c r="G94" s="103"/>
      <c r="H94" s="103"/>
      <c r="I94" s="96" t="str">
        <f aca="false">IF(OR(G94="",H94=""),"",G94*H94)</f>
        <v/>
      </c>
      <c r="J94" s="99" t="str">
        <f aca="false">IF(I94="","",IF(I94&gt;=15,"Crítica",IF(I94&gt;=9,"Alta",IF(I94&gt;=4,"Média","Baixa"))))</f>
        <v/>
      </c>
      <c r="K94" s="102"/>
      <c r="L94" s="102"/>
      <c r="M94" s="103"/>
      <c r="N94" s="96" t="str">
        <f aca="false">IF(B94="","",COUNTIF('Sensibilizando - Soluções'!$C$5:$C$500,A94&amp;"*"))</f>
        <v/>
      </c>
      <c r="O94" s="104"/>
      <c r="P94" s="102"/>
      <c r="Q94" s="102"/>
      <c r="R94" s="100" t="str">
        <f aca="false">IF(B94="","",A94&amp;" · "&amp;B94)</f>
        <v/>
      </c>
    </row>
    <row r="95" customFormat="false" ht="15" hidden="false" customHeight="false" outlineLevel="0" collapsed="false">
      <c r="A95" s="93" t="s">
        <v>1526</v>
      </c>
      <c r="B95" s="105"/>
      <c r="C95" s="105"/>
      <c r="D95" s="105"/>
      <c r="E95" s="106"/>
      <c r="F95" s="105"/>
      <c r="G95" s="106"/>
      <c r="H95" s="106"/>
      <c r="I95" s="96" t="str">
        <f aca="false">IF(OR(G95="",H95=""),"",G95*H95)</f>
        <v/>
      </c>
      <c r="J95" s="99" t="str">
        <f aca="false">IF(I95="","",IF(I95&gt;=15,"Crítica",IF(I95&gt;=9,"Alta",IF(I95&gt;=4,"Média","Baixa"))))</f>
        <v/>
      </c>
      <c r="K95" s="105"/>
      <c r="L95" s="105"/>
      <c r="M95" s="106"/>
      <c r="N95" s="96" t="str">
        <f aca="false">IF(B95="","",COUNTIF('Sensibilizando - Soluções'!$C$5:$C$500,A95&amp;"*"))</f>
        <v/>
      </c>
      <c r="O95" s="107"/>
      <c r="P95" s="105"/>
      <c r="Q95" s="105"/>
      <c r="R95" s="100" t="str">
        <f aca="false">IF(B95="","",A95&amp;" · "&amp;B95)</f>
        <v/>
      </c>
    </row>
    <row r="96" customFormat="false" ht="15" hidden="false" customHeight="false" outlineLevel="0" collapsed="false">
      <c r="A96" s="101" t="s">
        <v>1527</v>
      </c>
      <c r="B96" s="102"/>
      <c r="C96" s="102"/>
      <c r="D96" s="102"/>
      <c r="E96" s="103"/>
      <c r="F96" s="102"/>
      <c r="G96" s="103"/>
      <c r="H96" s="103"/>
      <c r="I96" s="96" t="str">
        <f aca="false">IF(OR(G96="",H96=""),"",G96*H96)</f>
        <v/>
      </c>
      <c r="J96" s="99" t="str">
        <f aca="false">IF(I96="","",IF(I96&gt;=15,"Crítica",IF(I96&gt;=9,"Alta",IF(I96&gt;=4,"Média","Baixa"))))</f>
        <v/>
      </c>
      <c r="K96" s="102"/>
      <c r="L96" s="102"/>
      <c r="M96" s="103"/>
      <c r="N96" s="96" t="str">
        <f aca="false">IF(B96="","",COUNTIF('Sensibilizando - Soluções'!$C$5:$C$500,A96&amp;"*"))</f>
        <v/>
      </c>
      <c r="O96" s="104"/>
      <c r="P96" s="102"/>
      <c r="Q96" s="102"/>
      <c r="R96" s="100" t="str">
        <f aca="false">IF(B96="","",A96&amp;" · "&amp;B96)</f>
        <v/>
      </c>
    </row>
    <row r="97" customFormat="false" ht="15" hidden="false" customHeight="false" outlineLevel="0" collapsed="false">
      <c r="A97" s="93" t="s">
        <v>1528</v>
      </c>
      <c r="B97" s="105"/>
      <c r="C97" s="105"/>
      <c r="D97" s="105"/>
      <c r="E97" s="106"/>
      <c r="F97" s="105"/>
      <c r="G97" s="106"/>
      <c r="H97" s="106"/>
      <c r="I97" s="96" t="str">
        <f aca="false">IF(OR(G97="",H97=""),"",G97*H97)</f>
        <v/>
      </c>
      <c r="J97" s="99" t="str">
        <f aca="false">IF(I97="","",IF(I97&gt;=15,"Crítica",IF(I97&gt;=9,"Alta",IF(I97&gt;=4,"Média","Baixa"))))</f>
        <v/>
      </c>
      <c r="K97" s="105"/>
      <c r="L97" s="105"/>
      <c r="M97" s="106"/>
      <c r="N97" s="96" t="str">
        <f aca="false">IF(B97="","",COUNTIF('Sensibilizando - Soluções'!$C$5:$C$500,A97&amp;"*"))</f>
        <v/>
      </c>
      <c r="O97" s="107"/>
      <c r="P97" s="105"/>
      <c r="Q97" s="105"/>
      <c r="R97" s="100" t="str">
        <f aca="false">IF(B97="","",A97&amp;" · "&amp;B97)</f>
        <v/>
      </c>
    </row>
    <row r="98" customFormat="false" ht="15" hidden="false" customHeight="false" outlineLevel="0" collapsed="false">
      <c r="A98" s="101" t="s">
        <v>1529</v>
      </c>
      <c r="B98" s="102"/>
      <c r="C98" s="102"/>
      <c r="D98" s="102"/>
      <c r="E98" s="103"/>
      <c r="F98" s="102"/>
      <c r="G98" s="103"/>
      <c r="H98" s="103"/>
      <c r="I98" s="96" t="str">
        <f aca="false">IF(OR(G98="",H98=""),"",G98*H98)</f>
        <v/>
      </c>
      <c r="J98" s="99" t="str">
        <f aca="false">IF(I98="","",IF(I98&gt;=15,"Crítica",IF(I98&gt;=9,"Alta",IF(I98&gt;=4,"Média","Baixa"))))</f>
        <v/>
      </c>
      <c r="K98" s="102"/>
      <c r="L98" s="102"/>
      <c r="M98" s="103"/>
      <c r="N98" s="96" t="str">
        <f aca="false">IF(B98="","",COUNTIF('Sensibilizando - Soluções'!$C$5:$C$500,A98&amp;"*"))</f>
        <v/>
      </c>
      <c r="O98" s="104"/>
      <c r="P98" s="102"/>
      <c r="Q98" s="102"/>
      <c r="R98" s="100" t="str">
        <f aca="false">IF(B98="","",A98&amp;" · "&amp;B98)</f>
        <v/>
      </c>
    </row>
    <row r="99" customFormat="false" ht="15" hidden="false" customHeight="false" outlineLevel="0" collapsed="false">
      <c r="A99" s="93" t="s">
        <v>1530</v>
      </c>
      <c r="B99" s="105"/>
      <c r="C99" s="105"/>
      <c r="D99" s="105"/>
      <c r="E99" s="106"/>
      <c r="F99" s="105"/>
      <c r="G99" s="106"/>
      <c r="H99" s="106"/>
      <c r="I99" s="96" t="str">
        <f aca="false">IF(OR(G99="",H99=""),"",G99*H99)</f>
        <v/>
      </c>
      <c r="J99" s="99" t="str">
        <f aca="false">IF(I99="","",IF(I99&gt;=15,"Crítica",IF(I99&gt;=9,"Alta",IF(I99&gt;=4,"Média","Baixa"))))</f>
        <v/>
      </c>
      <c r="K99" s="105"/>
      <c r="L99" s="105"/>
      <c r="M99" s="106"/>
      <c r="N99" s="96" t="str">
        <f aca="false">IF(B99="","",COUNTIF('Sensibilizando - Soluções'!$C$5:$C$500,A99&amp;"*"))</f>
        <v/>
      </c>
      <c r="O99" s="107"/>
      <c r="P99" s="105"/>
      <c r="Q99" s="105"/>
      <c r="R99" s="100" t="str">
        <f aca="false">IF(B99="","",A99&amp;" · "&amp;B99)</f>
        <v/>
      </c>
    </row>
    <row r="100" customFormat="false" ht="15" hidden="false" customHeight="false" outlineLevel="0" collapsed="false">
      <c r="A100" s="101" t="s">
        <v>1531</v>
      </c>
      <c r="B100" s="102"/>
      <c r="C100" s="102"/>
      <c r="D100" s="102"/>
      <c r="E100" s="103"/>
      <c r="F100" s="102"/>
      <c r="G100" s="103"/>
      <c r="H100" s="103"/>
      <c r="I100" s="96" t="str">
        <f aca="false">IF(OR(G100="",H100=""),"",G100*H100)</f>
        <v/>
      </c>
      <c r="J100" s="99" t="str">
        <f aca="false">IF(I100="","",IF(I100&gt;=15,"Crítica",IF(I100&gt;=9,"Alta",IF(I100&gt;=4,"Média","Baixa"))))</f>
        <v/>
      </c>
      <c r="K100" s="102"/>
      <c r="L100" s="102"/>
      <c r="M100" s="103"/>
      <c r="N100" s="96" t="str">
        <f aca="false">IF(B100="","",COUNTIF('Sensibilizando - Soluções'!$C$5:$C$500,A100&amp;"*"))</f>
        <v/>
      </c>
      <c r="O100" s="104"/>
      <c r="P100" s="102"/>
      <c r="Q100" s="102"/>
      <c r="R100" s="100" t="str">
        <f aca="false">IF(B100="","",A100&amp;" · "&amp;B100)</f>
        <v/>
      </c>
    </row>
    <row r="101" customFormat="false" ht="15" hidden="false" customHeight="false" outlineLevel="0" collapsed="false">
      <c r="A101" s="93" t="s">
        <v>1532</v>
      </c>
      <c r="B101" s="105"/>
      <c r="C101" s="105"/>
      <c r="D101" s="105"/>
      <c r="E101" s="106"/>
      <c r="F101" s="105"/>
      <c r="G101" s="106"/>
      <c r="H101" s="106"/>
      <c r="I101" s="96" t="str">
        <f aca="false">IF(OR(G101="",H101=""),"",G101*H101)</f>
        <v/>
      </c>
      <c r="J101" s="99" t="str">
        <f aca="false">IF(I101="","",IF(I101&gt;=15,"Crítica",IF(I101&gt;=9,"Alta",IF(I101&gt;=4,"Média","Baixa"))))</f>
        <v/>
      </c>
      <c r="K101" s="105"/>
      <c r="L101" s="105"/>
      <c r="M101" s="106"/>
      <c r="N101" s="96" t="str">
        <f aca="false">IF(B101="","",COUNTIF('Sensibilizando - Soluções'!$C$5:$C$500,A101&amp;"*"))</f>
        <v/>
      </c>
      <c r="O101" s="107"/>
      <c r="P101" s="105"/>
      <c r="Q101" s="105"/>
      <c r="R101" s="100" t="str">
        <f aca="false">IF(B101="","",A101&amp;" · "&amp;B101)</f>
        <v/>
      </c>
    </row>
    <row r="102" customFormat="false" ht="15" hidden="false" customHeight="false" outlineLevel="0" collapsed="false">
      <c r="A102" s="101" t="s">
        <v>1533</v>
      </c>
      <c r="B102" s="102"/>
      <c r="C102" s="102"/>
      <c r="D102" s="102"/>
      <c r="E102" s="103"/>
      <c r="F102" s="102"/>
      <c r="G102" s="103"/>
      <c r="H102" s="103"/>
      <c r="I102" s="96" t="str">
        <f aca="false">IF(OR(G102="",H102=""),"",G102*H102)</f>
        <v/>
      </c>
      <c r="J102" s="99" t="str">
        <f aca="false">IF(I102="","",IF(I102&gt;=15,"Crítica",IF(I102&gt;=9,"Alta",IF(I102&gt;=4,"Média","Baixa"))))</f>
        <v/>
      </c>
      <c r="K102" s="102"/>
      <c r="L102" s="102"/>
      <c r="M102" s="103"/>
      <c r="N102" s="96" t="str">
        <f aca="false">IF(B102="","",COUNTIF('Sensibilizando - Soluções'!$C$5:$C$500,A102&amp;"*"))</f>
        <v/>
      </c>
      <c r="O102" s="104"/>
      <c r="P102" s="102"/>
      <c r="Q102" s="102"/>
      <c r="R102" s="100" t="str">
        <f aca="false">IF(B102="","",A102&amp;" · "&amp;B102)</f>
        <v/>
      </c>
    </row>
    <row r="103" customFormat="false" ht="15" hidden="false" customHeight="false" outlineLevel="0" collapsed="false">
      <c r="A103" s="93" t="s">
        <v>1534</v>
      </c>
      <c r="B103" s="105"/>
      <c r="C103" s="105"/>
      <c r="D103" s="105"/>
      <c r="E103" s="106"/>
      <c r="F103" s="105"/>
      <c r="G103" s="106"/>
      <c r="H103" s="106"/>
      <c r="I103" s="96" t="str">
        <f aca="false">IF(OR(G103="",H103=""),"",G103*H103)</f>
        <v/>
      </c>
      <c r="J103" s="99" t="str">
        <f aca="false">IF(I103="","",IF(I103&gt;=15,"Crítica",IF(I103&gt;=9,"Alta",IF(I103&gt;=4,"Média","Baixa"))))</f>
        <v/>
      </c>
      <c r="K103" s="105"/>
      <c r="L103" s="105"/>
      <c r="M103" s="106"/>
      <c r="N103" s="96" t="str">
        <f aca="false">IF(B103="","",COUNTIF('Sensibilizando - Soluções'!$C$5:$C$500,A103&amp;"*"))</f>
        <v/>
      </c>
      <c r="O103" s="107"/>
      <c r="P103" s="105"/>
      <c r="Q103" s="105"/>
      <c r="R103" s="100" t="str">
        <f aca="false">IF(B103="","",A103&amp;" · "&amp;B103)</f>
        <v/>
      </c>
    </row>
    <row r="104" customFormat="false" ht="15" hidden="false" customHeight="false" outlineLevel="0" collapsed="false">
      <c r="A104" s="101" t="s">
        <v>1535</v>
      </c>
      <c r="B104" s="102"/>
      <c r="C104" s="102"/>
      <c r="D104" s="102"/>
      <c r="E104" s="103"/>
      <c r="F104" s="102"/>
      <c r="G104" s="103"/>
      <c r="H104" s="103"/>
      <c r="I104" s="96" t="str">
        <f aca="false">IF(OR(G104="",H104=""),"",G104*H104)</f>
        <v/>
      </c>
      <c r="J104" s="99" t="str">
        <f aca="false">IF(I104="","",IF(I104&gt;=15,"Crítica",IF(I104&gt;=9,"Alta",IF(I104&gt;=4,"Média","Baixa"))))</f>
        <v/>
      </c>
      <c r="K104" s="102"/>
      <c r="L104" s="102"/>
      <c r="M104" s="103"/>
      <c r="N104" s="96" t="str">
        <f aca="false">IF(B104="","",COUNTIF('Sensibilizando - Soluções'!$C$5:$C$500,A104&amp;"*"))</f>
        <v/>
      </c>
      <c r="O104" s="104"/>
      <c r="P104" s="102"/>
      <c r="Q104" s="102"/>
      <c r="R104" s="100" t="str">
        <f aca="false">IF(B104="","",A104&amp;" · "&amp;B104)</f>
        <v/>
      </c>
    </row>
  </sheetData>
  <autoFilter ref="A4:R104"/>
  <mergeCells count="4">
    <mergeCell ref="A3:F3"/>
    <mergeCell ref="G3:J3"/>
    <mergeCell ref="K3:N3"/>
    <mergeCell ref="O3:R3"/>
  </mergeCells>
  <conditionalFormatting sqref="A5:A500">
    <cfRule type="expression" priority="2" aboveAverage="0" equalAverage="0" bottom="0" percent="0" rank="0" text="" dxfId="13">
      <formula>$B5&lt;&gt;""</formula>
    </cfRule>
  </conditionalFormatting>
  <conditionalFormatting sqref="J5:J500">
    <cfRule type="expression" priority="3" aboveAverage="0" equalAverage="0" bottom="0" percent="0" rank="0" text="" dxfId="20">
      <formula>$J5="Crítica"</formula>
    </cfRule>
    <cfRule type="expression" priority="4" aboveAverage="0" equalAverage="0" bottom="0" percent="0" rank="0" text="" dxfId="27">
      <formula>$J5="Alta"</formula>
    </cfRule>
    <cfRule type="expression" priority="5" aboveAverage="0" equalAverage="0" bottom="0" percent="0" rank="0" text="" dxfId="28">
      <formula>$J5="Média"</formula>
    </cfRule>
    <cfRule type="expression" priority="6" aboveAverage="0" equalAverage="0" bottom="0" percent="0" rank="0" text="" dxfId="29">
      <formula>$J5="Baixa"</formula>
    </cfRule>
  </conditionalFormatting>
  <conditionalFormatting sqref="E5:E500">
    <cfRule type="expression" priority="7" aboveAverage="0" equalAverage="0" bottom="0" percent="0" rank="0" text="" dxfId="30">
      <formula>$E5="Ocorrendo hoje"</formula>
    </cfRule>
    <cfRule type="expression" priority="8" aboveAverage="0" equalAverage="0" bottom="0" percent="0" rank="0" text="" dxfId="31">
      <formula>$E5="Risco potencial"</formula>
    </cfRule>
  </conditionalFormatting>
  <conditionalFormatting sqref="M5:M500">
    <cfRule type="expression" priority="9" aboveAverage="0" equalAverage="0" bottom="0" percent="0" rank="0" text="" dxfId="14">
      <formula>$M5="Resolvido"</formula>
    </cfRule>
    <cfRule type="expression" priority="10" aboveAverage="0" equalAverage="0" bottom="0" percent="0" rank="0" text="" dxfId="15">
      <formula>$M5="Solução em teste"</formula>
    </cfRule>
    <cfRule type="expression" priority="11" aboveAverage="0" equalAverage="0" bottom="0" percent="0" rank="0" text="" dxfId="17">
      <formula>$M5="Buscando solução"</formula>
    </cfRule>
    <cfRule type="expression" priority="12" aboveAverage="0" equalAverage="0" bottom="0" percent="0" rank="0" text="" dxfId="18">
      <formula>$M5="Arquivado"</formula>
    </cfRule>
  </conditionalFormatting>
  <conditionalFormatting sqref="N5:N500">
    <cfRule type="expression" priority="13" aboveAverage="0" equalAverage="0" bottom="0" percent="0" rank="0" text="" dxfId="32">
      <formula>AND($B5&lt;&gt;"",$N5=0)</formula>
    </cfRule>
  </conditionalFormatting>
  <dataValidations count="7">
    <dataValidation allowBlank="true" error="Digite uma data válida no formato dd/mm/aaaa." errorStyle="stop" errorTitle="Data inválida" operator="greaterThan" showDropDown="false" showErrorMessage="true" showInputMessage="false" sqref="O5:O500" type="date">
      <formula1>36526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D5:D500" type="list">
      <formula1>lst_Categoria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lst_SitProblema</formula1>
      <formula2>0</formula2>
    </dataValidation>
    <dataValidation allowBlank="true" error="Escolha uma opção da lista. As opções podem ser editadas na aba Listas." errorStyle="stop" errorTitle="Valor fora da lista" operator="between" prompt="1 = muito baixo · 3 = médio · 5 = muito alto (afeta o resultado do projeto/CEMP)." promptTitle="Impacto" showDropDown="false" showErrorMessage="true" showInputMessage="true" sqref="G5:G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prompt="1 = raro · 3 = acontece às vezes · 5 = acontece sempre / quase certo." promptTitle="Probabilidade" showDropDown="false" showErrorMessage="true" showInputMessage="true" sqref="H5:H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lst_Diretoria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M5:M500" type="list">
      <formula1>lst_StatusProblema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A00"/>
    <pageSetUpPr fitToPage="true"/>
  </sheetPr>
  <dimension ref="A1:U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19"/>
    <col collapsed="false" customWidth="true" hidden="false" outlineLevel="0" max="7" min="7" style="0" width="17"/>
    <col collapsed="false" customWidth="true" hidden="false" outlineLevel="0" max="8" min="8" style="0" width="56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17"/>
    <col collapsed="false" customWidth="true" hidden="false" outlineLevel="0" max="14" min="14" style="0" width="40"/>
    <col collapsed="false" customWidth="true" hidden="false" outlineLevel="0" max="15" min="15" style="0" width="28"/>
    <col collapsed="false" customWidth="true" hidden="false" outlineLevel="0" max="16" min="16" style="0" width="16"/>
    <col collapsed="false" customWidth="true" hidden="false" outlineLevel="0" max="17" min="17" style="0" width="17"/>
    <col collapsed="false" customWidth="true" hidden="false" outlineLevel="0" max="18" min="18" style="0" width="12"/>
    <col collapsed="false" customWidth="true" hidden="false" outlineLevel="0" max="19" min="19" style="0" width="34"/>
    <col collapsed="false" customWidth="true" hidden="false" outlineLevel="0" max="20" min="20" style="0" width="12"/>
    <col collapsed="false" customWidth="true" hidden="false" outlineLevel="0" max="21" min="21" style="0" width="16"/>
  </cols>
  <sheetData>
    <row r="1" customFormat="false" ht="31.5" hidden="false" customHeight="true" outlineLevel="0" collapsed="false">
      <c r="A1" s="83" t="s">
        <v>1536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9.5" hidden="false" customHeight="true" outlineLevel="0" collapsed="false">
      <c r="A2" s="131" t="s">
        <v>70</v>
      </c>
      <c r="B2" s="132" t="str">
        <f aca="false">"Soluções encontradas em outros projetos/empresas para: Sensibilizando (escolas)   ·   "&amp;COUNTA(B5:B500)&amp;" registro(s)"</f>
        <v>Soluções encontradas em outros projetos/empresas para: Sensibilizando (escolas)   ·   1 registro(s)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</row>
    <row r="3" customFormat="false" ht="16.5" hidden="false" customHeight="true" outlineLevel="0" collapsed="false">
      <c r="A3" s="87" t="s">
        <v>649</v>
      </c>
      <c r="B3" s="87"/>
      <c r="C3" s="87"/>
      <c r="D3" s="87"/>
      <c r="E3" s="88" t="s">
        <v>650</v>
      </c>
      <c r="F3" s="88"/>
      <c r="G3" s="88"/>
      <c r="H3" s="89" t="s">
        <v>651</v>
      </c>
      <c r="I3" s="89"/>
      <c r="J3" s="89"/>
      <c r="K3" s="90" t="s">
        <v>652</v>
      </c>
      <c r="L3" s="90"/>
      <c r="M3" s="90"/>
      <c r="N3" s="113" t="s">
        <v>653</v>
      </c>
      <c r="O3" s="113"/>
      <c r="P3" s="114" t="s">
        <v>654</v>
      </c>
      <c r="Q3" s="114"/>
      <c r="R3" s="114"/>
      <c r="S3" s="115" t="s">
        <v>523</v>
      </c>
      <c r="T3" s="115"/>
      <c r="U3" s="115"/>
    </row>
    <row r="4" customFormat="false" ht="42" hidden="false" customHeight="true" outlineLevel="0" collapsed="false">
      <c r="A4" s="134" t="s">
        <v>118</v>
      </c>
      <c r="B4" s="134" t="s">
        <v>655</v>
      </c>
      <c r="C4" s="134" t="s">
        <v>656</v>
      </c>
      <c r="D4" s="134" t="s">
        <v>657</v>
      </c>
      <c r="E4" s="134" t="s">
        <v>658</v>
      </c>
      <c r="F4" s="92" t="s">
        <v>659</v>
      </c>
      <c r="G4" s="134" t="s">
        <v>660</v>
      </c>
      <c r="H4" s="134" t="s">
        <v>661</v>
      </c>
      <c r="I4" s="134" t="s">
        <v>662</v>
      </c>
      <c r="J4" s="134" t="s">
        <v>663</v>
      </c>
      <c r="K4" s="134" t="s">
        <v>664</v>
      </c>
      <c r="L4" s="134" t="s">
        <v>665</v>
      </c>
      <c r="M4" s="92" t="s">
        <v>666</v>
      </c>
      <c r="N4" s="134" t="s">
        <v>667</v>
      </c>
      <c r="O4" s="134" t="s">
        <v>668</v>
      </c>
      <c r="P4" s="134" t="s">
        <v>669</v>
      </c>
      <c r="Q4" s="134" t="s">
        <v>670</v>
      </c>
      <c r="R4" s="134" t="s">
        <v>671</v>
      </c>
      <c r="S4" s="134" t="s">
        <v>672</v>
      </c>
      <c r="T4" s="134" t="s">
        <v>536</v>
      </c>
      <c r="U4" s="134" t="s">
        <v>537</v>
      </c>
    </row>
    <row r="5" customFormat="false" ht="46.25" hidden="false" customHeight="false" outlineLevel="0" collapsed="false">
      <c r="A5" s="93" t="s">
        <v>1537</v>
      </c>
      <c r="B5" s="94" t="s">
        <v>1538</v>
      </c>
      <c r="C5" s="94" t="s">
        <v>1539</v>
      </c>
      <c r="D5" s="94" t="s">
        <v>1540</v>
      </c>
      <c r="E5" s="94" t="s">
        <v>313</v>
      </c>
      <c r="F5" s="99" t="str">
        <f aca="false">IF(E5="","",IFERROR(INDEX('Fontes e Parcerias'!$C$5:$C$500,MATCH(IFERROR(LEFT(E5,FIND(" · ",E5)-1),E5),'Fontes e Parcerias'!$A$5:$A$500,0)),"Fonte não encontrada"))</f>
        <v>Empresa Júnior</v>
      </c>
      <c r="G5" s="95" t="s">
        <v>677</v>
      </c>
      <c r="H5" s="94" t="s">
        <v>1541</v>
      </c>
      <c r="I5" s="94" t="s">
        <v>1542</v>
      </c>
      <c r="J5" s="116" t="n">
        <v>80</v>
      </c>
      <c r="K5" s="95" t="s">
        <v>898</v>
      </c>
      <c r="L5" s="95" t="s">
        <v>898</v>
      </c>
      <c r="M5" s="99" t="str">
        <f aca="false">IF(OR(K5="",L5=""),"",IF((IF(L5="Alto",3,IF(L5="Médio",2,1))-IF(K5="Alto",3,IF(K5="Médio",2,1)))=2,"⚡ Quick win",IF((IF(L5="Alto",3,IF(L5="Médio",2,1))-IF(K5="Alto",3,IF(K5="Médio",2,1)))=1,"🚀 Alto retorno",IF(AND(L5="Alto",K5="Alto"),"🎯 Estratégica",IF((IF(L5="Alto",3,IF(L5="Médio",2,1))-IF(K5="Alto",3,IF(K5="Médio",2,1)))=0,"⚖ Equilibrada","⏳ Baixo retorno")))))</f>
        <v>⚖ Equilibrada</v>
      </c>
      <c r="N5" s="94" t="s">
        <v>1543</v>
      </c>
      <c r="O5" s="94" t="s">
        <v>900</v>
      </c>
      <c r="P5" s="95" t="s">
        <v>87</v>
      </c>
      <c r="Q5" s="94" t="s">
        <v>684</v>
      </c>
      <c r="R5" s="98" t="n">
        <v>46338</v>
      </c>
      <c r="S5" s="94" t="s">
        <v>548</v>
      </c>
      <c r="T5" s="98" t="n">
        <v>46293</v>
      </c>
      <c r="U5" s="94" t="s">
        <v>547</v>
      </c>
    </row>
    <row r="6" customFormat="false" ht="15" hidden="false" customHeight="false" outlineLevel="0" collapsed="false">
      <c r="A6" s="101" t="s">
        <v>1544</v>
      </c>
      <c r="B6" s="102"/>
      <c r="C6" s="102"/>
      <c r="D6" s="102"/>
      <c r="E6" s="102"/>
      <c r="F6" s="99" t="str">
        <f aca="false">IF(E6="","",IFERROR(INDEX('Fontes e Parcerias'!$C$5:$C$500,MATCH(IFERROR(LEFT(E6,FIND(" · ",E6)-1),E6),'Fontes e Parcerias'!$A$5:$A$500,0)),"Fonte não encontrada"))</f>
        <v/>
      </c>
      <c r="G6" s="103"/>
      <c r="H6" s="102"/>
      <c r="I6" s="102"/>
      <c r="J6" s="117"/>
      <c r="K6" s="103"/>
      <c r="L6" s="103"/>
      <c r="M6" s="99" t="str">
        <f aca="false">IF(OR(K6="",L6=""),"",IF((IF(L6="Alto",3,IF(L6="Médio",2,1))-IF(K6="Alto",3,IF(K6="Médio",2,1)))=2,"⚡ Quick win",IF((IF(L6="Alto",3,IF(L6="Médio",2,1))-IF(K6="Alto",3,IF(K6="Médio",2,1)))=1,"🚀 Alto retorno",IF(AND(L6="Alto",K6="Alto"),"🎯 Estratégica",IF((IF(L6="Alto",3,IF(L6="Médio",2,1))-IF(K6="Alto",3,IF(K6="Médio",2,1)))=0,"⚖ Equilibrada","⏳ Baixo retorno")))))</f>
        <v/>
      </c>
      <c r="N6" s="102"/>
      <c r="O6" s="102"/>
      <c r="P6" s="103"/>
      <c r="Q6" s="102"/>
      <c r="R6" s="104"/>
      <c r="S6" s="102"/>
      <c r="T6" s="104"/>
      <c r="U6" s="102"/>
    </row>
    <row r="7" customFormat="false" ht="15" hidden="false" customHeight="false" outlineLevel="0" collapsed="false">
      <c r="A7" s="93" t="s">
        <v>1545</v>
      </c>
      <c r="B7" s="105"/>
      <c r="C7" s="105"/>
      <c r="D7" s="105"/>
      <c r="E7" s="105"/>
      <c r="F7" s="99" t="str">
        <f aca="false">IF(E7="","",IFERROR(INDEX('Fontes e Parcerias'!$C$5:$C$500,MATCH(IFERROR(LEFT(E7,FIND(" · ",E7)-1),E7),'Fontes e Parcerias'!$A$5:$A$500,0)),"Fonte não encontrada"))</f>
        <v/>
      </c>
      <c r="G7" s="106"/>
      <c r="H7" s="105"/>
      <c r="I7" s="105"/>
      <c r="J7" s="118"/>
      <c r="K7" s="106"/>
      <c r="L7" s="106"/>
      <c r="M7" s="99" t="str">
        <f aca="false">IF(OR(K7="",L7=""),"",IF((IF(L7="Alto",3,IF(L7="Médio",2,1))-IF(K7="Alto",3,IF(K7="Médio",2,1)))=2,"⚡ Quick win",IF((IF(L7="Alto",3,IF(L7="Médio",2,1))-IF(K7="Alto",3,IF(K7="Médio",2,1)))=1,"🚀 Alto retorno",IF(AND(L7="Alto",K7="Alto"),"🎯 Estratégica",IF((IF(L7="Alto",3,IF(L7="Médio",2,1))-IF(K7="Alto",3,IF(K7="Médio",2,1)))=0,"⚖ Equilibrada","⏳ Baixo retorno")))))</f>
        <v/>
      </c>
      <c r="N7" s="105"/>
      <c r="O7" s="105"/>
      <c r="P7" s="106"/>
      <c r="Q7" s="105"/>
      <c r="R7" s="107"/>
      <c r="S7" s="105"/>
      <c r="T7" s="107"/>
      <c r="U7" s="105"/>
    </row>
    <row r="8" customFormat="false" ht="15" hidden="false" customHeight="false" outlineLevel="0" collapsed="false">
      <c r="A8" s="101" t="s">
        <v>1546</v>
      </c>
      <c r="B8" s="102"/>
      <c r="C8" s="102"/>
      <c r="D8" s="102"/>
      <c r="E8" s="102"/>
      <c r="F8" s="99" t="str">
        <f aca="false">IF(E8="","",IFERROR(INDEX('Fontes e Parcerias'!$C$5:$C$500,MATCH(IFERROR(LEFT(E8,FIND(" · ",E8)-1),E8),'Fontes e Parcerias'!$A$5:$A$500,0)),"Fonte não encontrada"))</f>
        <v/>
      </c>
      <c r="G8" s="103"/>
      <c r="H8" s="102"/>
      <c r="I8" s="102"/>
      <c r="J8" s="117"/>
      <c r="K8" s="103"/>
      <c r="L8" s="103"/>
      <c r="M8" s="99" t="str">
        <f aca="false">IF(OR(K8="",L8=""),"",IF((IF(L8="Alto",3,IF(L8="Médio",2,1))-IF(K8="Alto",3,IF(K8="Médio",2,1)))=2,"⚡ Quick win",IF((IF(L8="Alto",3,IF(L8="Médio",2,1))-IF(K8="Alto",3,IF(K8="Médio",2,1)))=1,"🚀 Alto retorno",IF(AND(L8="Alto",K8="Alto"),"🎯 Estratégica",IF((IF(L8="Alto",3,IF(L8="Médio",2,1))-IF(K8="Alto",3,IF(K8="Médio",2,1)))=0,"⚖ Equilibrada","⏳ Baixo retorno")))))</f>
        <v/>
      </c>
      <c r="N8" s="102"/>
      <c r="O8" s="102"/>
      <c r="P8" s="103"/>
      <c r="Q8" s="102"/>
      <c r="R8" s="104"/>
      <c r="S8" s="102"/>
      <c r="T8" s="104"/>
      <c r="U8" s="102"/>
    </row>
    <row r="9" customFormat="false" ht="15" hidden="false" customHeight="false" outlineLevel="0" collapsed="false">
      <c r="A9" s="93" t="s">
        <v>1547</v>
      </c>
      <c r="B9" s="105"/>
      <c r="C9" s="105"/>
      <c r="D9" s="105"/>
      <c r="E9" s="105"/>
      <c r="F9" s="99" t="str">
        <f aca="false">IF(E9="","",IFERROR(INDEX('Fontes e Parcerias'!$C$5:$C$500,MATCH(IFERROR(LEFT(E9,FIND(" · ",E9)-1),E9),'Fontes e Parcerias'!$A$5:$A$500,0)),"Fonte não encontrada"))</f>
        <v/>
      </c>
      <c r="G9" s="106"/>
      <c r="H9" s="105"/>
      <c r="I9" s="105"/>
      <c r="J9" s="118"/>
      <c r="K9" s="106"/>
      <c r="L9" s="106"/>
      <c r="M9" s="99" t="str">
        <f aca="false">IF(OR(K9="",L9=""),"",IF((IF(L9="Alto",3,IF(L9="Médio",2,1))-IF(K9="Alto",3,IF(K9="Médio",2,1)))=2,"⚡ Quick win",IF((IF(L9="Alto",3,IF(L9="Médio",2,1))-IF(K9="Alto",3,IF(K9="Médio",2,1)))=1,"🚀 Alto retorno",IF(AND(L9="Alto",K9="Alto"),"🎯 Estratégica",IF((IF(L9="Alto",3,IF(L9="Médio",2,1))-IF(K9="Alto",3,IF(K9="Médio",2,1)))=0,"⚖ Equilibrada","⏳ Baixo retorno")))))</f>
        <v/>
      </c>
      <c r="N9" s="105"/>
      <c r="O9" s="105"/>
      <c r="P9" s="106"/>
      <c r="Q9" s="105"/>
      <c r="R9" s="107"/>
      <c r="S9" s="105"/>
      <c r="T9" s="107"/>
      <c r="U9" s="105"/>
    </row>
    <row r="10" customFormat="false" ht="15" hidden="false" customHeight="false" outlineLevel="0" collapsed="false">
      <c r="A10" s="101" t="s">
        <v>1548</v>
      </c>
      <c r="B10" s="102"/>
      <c r="C10" s="102"/>
      <c r="D10" s="102"/>
      <c r="E10" s="102"/>
      <c r="F10" s="99" t="str">
        <f aca="false">IF(E10="","",IFERROR(INDEX('Fontes e Parcerias'!$C$5:$C$500,MATCH(IFERROR(LEFT(E10,FIND(" · ",E10)-1),E10),'Fontes e Parcerias'!$A$5:$A$500,0)),"Fonte não encontrada"))</f>
        <v/>
      </c>
      <c r="G10" s="103"/>
      <c r="H10" s="102"/>
      <c r="I10" s="102"/>
      <c r="J10" s="117"/>
      <c r="K10" s="103"/>
      <c r="L10" s="103"/>
      <c r="M10" s="99" t="str">
        <f aca="false">IF(OR(K10="",L10=""),"",IF((IF(L10="Alto",3,IF(L10="Médio",2,1))-IF(K10="Alto",3,IF(K10="Médio",2,1)))=2,"⚡ Quick win",IF((IF(L10="Alto",3,IF(L10="Médio",2,1))-IF(K10="Alto",3,IF(K10="Médio",2,1)))=1,"🚀 Alto retorno",IF(AND(L10="Alto",K10="Alto"),"🎯 Estratégica",IF((IF(L10="Alto",3,IF(L10="Médio",2,1))-IF(K10="Alto",3,IF(K10="Médio",2,1)))=0,"⚖ Equilibrada","⏳ Baixo retorno")))))</f>
        <v/>
      </c>
      <c r="N10" s="102"/>
      <c r="O10" s="102"/>
      <c r="P10" s="103"/>
      <c r="Q10" s="102"/>
      <c r="R10" s="104"/>
      <c r="S10" s="102"/>
      <c r="T10" s="104"/>
      <c r="U10" s="102"/>
    </row>
    <row r="11" customFormat="false" ht="15" hidden="false" customHeight="false" outlineLevel="0" collapsed="false">
      <c r="A11" s="93" t="s">
        <v>1549</v>
      </c>
      <c r="B11" s="105"/>
      <c r="C11" s="105"/>
      <c r="D11" s="105"/>
      <c r="E11" s="105"/>
      <c r="F11" s="99" t="str">
        <f aca="false">IF(E11="","",IFERROR(INDEX('Fontes e Parcerias'!$C$5:$C$500,MATCH(IFERROR(LEFT(E11,FIND(" · ",E11)-1),E11),'Fontes e Parcerias'!$A$5:$A$500,0)),"Fonte não encontrada"))</f>
        <v/>
      </c>
      <c r="G11" s="106"/>
      <c r="H11" s="105"/>
      <c r="I11" s="105"/>
      <c r="J11" s="118"/>
      <c r="K11" s="106"/>
      <c r="L11" s="106"/>
      <c r="M11" s="99" t="str">
        <f aca="false">IF(OR(K11="",L11=""),"",IF((IF(L11="Alto",3,IF(L11="Médio",2,1))-IF(K11="Alto",3,IF(K11="Médio",2,1)))=2,"⚡ Quick win",IF((IF(L11="Alto",3,IF(L11="Médio",2,1))-IF(K11="Alto",3,IF(K11="Médio",2,1)))=1,"🚀 Alto retorno",IF(AND(L11="Alto",K11="Alto"),"🎯 Estratégica",IF((IF(L11="Alto",3,IF(L11="Médio",2,1))-IF(K11="Alto",3,IF(K11="Médio",2,1)))=0,"⚖ Equilibrada","⏳ Baixo retorno")))))</f>
        <v/>
      </c>
      <c r="N11" s="105"/>
      <c r="O11" s="105"/>
      <c r="P11" s="106"/>
      <c r="Q11" s="105"/>
      <c r="R11" s="107"/>
      <c r="S11" s="105"/>
      <c r="T11" s="107"/>
      <c r="U11" s="105"/>
    </row>
    <row r="12" customFormat="false" ht="15" hidden="false" customHeight="false" outlineLevel="0" collapsed="false">
      <c r="A12" s="101" t="s">
        <v>1550</v>
      </c>
      <c r="B12" s="102"/>
      <c r="C12" s="102"/>
      <c r="D12" s="102"/>
      <c r="E12" s="102"/>
      <c r="F12" s="99" t="str">
        <f aca="false">IF(E12="","",IFERROR(INDEX('Fontes e Parcerias'!$C$5:$C$500,MATCH(IFERROR(LEFT(E12,FIND(" · ",E12)-1),E12),'Fontes e Parcerias'!$A$5:$A$500,0)),"Fonte não encontrada"))</f>
        <v/>
      </c>
      <c r="G12" s="103"/>
      <c r="H12" s="102"/>
      <c r="I12" s="102"/>
      <c r="J12" s="117"/>
      <c r="K12" s="103"/>
      <c r="L12" s="103"/>
      <c r="M12" s="99" t="str">
        <f aca="false">IF(OR(K12="",L12=""),"",IF((IF(L12="Alto",3,IF(L12="Médio",2,1))-IF(K12="Alto",3,IF(K12="Médio",2,1)))=2,"⚡ Quick win",IF((IF(L12="Alto",3,IF(L12="Médio",2,1))-IF(K12="Alto",3,IF(K12="Médio",2,1)))=1,"🚀 Alto retorno",IF(AND(L12="Alto",K12="Alto"),"🎯 Estratégica",IF((IF(L12="Alto",3,IF(L12="Médio",2,1))-IF(K12="Alto",3,IF(K12="Médio",2,1)))=0,"⚖ Equilibrada","⏳ Baixo retorno")))))</f>
        <v/>
      </c>
      <c r="N12" s="102"/>
      <c r="O12" s="102"/>
      <c r="P12" s="103"/>
      <c r="Q12" s="102"/>
      <c r="R12" s="104"/>
      <c r="S12" s="102"/>
      <c r="T12" s="104"/>
      <c r="U12" s="102"/>
    </row>
    <row r="13" customFormat="false" ht="15" hidden="false" customHeight="false" outlineLevel="0" collapsed="false">
      <c r="A13" s="93" t="s">
        <v>1551</v>
      </c>
      <c r="B13" s="105"/>
      <c r="C13" s="105"/>
      <c r="D13" s="105"/>
      <c r="E13" s="105"/>
      <c r="F13" s="99" t="str">
        <f aca="false">IF(E13="","",IFERROR(INDEX('Fontes e Parcerias'!$C$5:$C$500,MATCH(IFERROR(LEFT(E13,FIND(" · ",E13)-1),E13),'Fontes e Parcerias'!$A$5:$A$500,0)),"Fonte não encontrada"))</f>
        <v/>
      </c>
      <c r="G13" s="106"/>
      <c r="H13" s="105"/>
      <c r="I13" s="105"/>
      <c r="J13" s="118"/>
      <c r="K13" s="106"/>
      <c r="L13" s="106"/>
      <c r="M13" s="99" t="str">
        <f aca="false">IF(OR(K13="",L13=""),"",IF((IF(L13="Alto",3,IF(L13="Médio",2,1))-IF(K13="Alto",3,IF(K13="Médio",2,1)))=2,"⚡ Quick win",IF((IF(L13="Alto",3,IF(L13="Médio",2,1))-IF(K13="Alto",3,IF(K13="Médio",2,1)))=1,"🚀 Alto retorno",IF(AND(L13="Alto",K13="Alto"),"🎯 Estratégica",IF((IF(L13="Alto",3,IF(L13="Médio",2,1))-IF(K13="Alto",3,IF(K13="Médio",2,1)))=0,"⚖ Equilibrada","⏳ Baixo retorno")))))</f>
        <v/>
      </c>
      <c r="N13" s="105"/>
      <c r="O13" s="105"/>
      <c r="P13" s="106"/>
      <c r="Q13" s="105"/>
      <c r="R13" s="107"/>
      <c r="S13" s="105"/>
      <c r="T13" s="107"/>
      <c r="U13" s="105"/>
    </row>
    <row r="14" customFormat="false" ht="15" hidden="false" customHeight="false" outlineLevel="0" collapsed="false">
      <c r="A14" s="101" t="s">
        <v>1552</v>
      </c>
      <c r="B14" s="102"/>
      <c r="C14" s="102"/>
      <c r="D14" s="102"/>
      <c r="E14" s="102"/>
      <c r="F14" s="99" t="str">
        <f aca="false">IF(E14="","",IFERROR(INDEX('Fontes e Parcerias'!$C$5:$C$500,MATCH(IFERROR(LEFT(E14,FIND(" · ",E14)-1),E14),'Fontes e Parcerias'!$A$5:$A$500,0)),"Fonte não encontrada"))</f>
        <v/>
      </c>
      <c r="G14" s="103"/>
      <c r="H14" s="102"/>
      <c r="I14" s="102"/>
      <c r="J14" s="117"/>
      <c r="K14" s="103"/>
      <c r="L14" s="103"/>
      <c r="M14" s="99" t="str">
        <f aca="false">IF(OR(K14="",L14=""),"",IF((IF(L14="Alto",3,IF(L14="Médio",2,1))-IF(K14="Alto",3,IF(K14="Médio",2,1)))=2,"⚡ Quick win",IF((IF(L14="Alto",3,IF(L14="Médio",2,1))-IF(K14="Alto",3,IF(K14="Médio",2,1)))=1,"🚀 Alto retorno",IF(AND(L14="Alto",K14="Alto"),"🎯 Estratégica",IF((IF(L14="Alto",3,IF(L14="Médio",2,1))-IF(K14="Alto",3,IF(K14="Médio",2,1)))=0,"⚖ Equilibrada","⏳ Baixo retorno")))))</f>
        <v/>
      </c>
      <c r="N14" s="102"/>
      <c r="O14" s="102"/>
      <c r="P14" s="103"/>
      <c r="Q14" s="102"/>
      <c r="R14" s="104"/>
      <c r="S14" s="102"/>
      <c r="T14" s="104"/>
      <c r="U14" s="102"/>
    </row>
    <row r="15" customFormat="false" ht="15" hidden="false" customHeight="false" outlineLevel="0" collapsed="false">
      <c r="A15" s="93" t="s">
        <v>1553</v>
      </c>
      <c r="B15" s="105"/>
      <c r="C15" s="105"/>
      <c r="D15" s="105"/>
      <c r="E15" s="105"/>
      <c r="F15" s="99" t="str">
        <f aca="false">IF(E15="","",IFERROR(INDEX('Fontes e Parcerias'!$C$5:$C$500,MATCH(IFERROR(LEFT(E15,FIND(" · ",E15)-1),E15),'Fontes e Parcerias'!$A$5:$A$500,0)),"Fonte não encontrada"))</f>
        <v/>
      </c>
      <c r="G15" s="106"/>
      <c r="H15" s="105"/>
      <c r="I15" s="105"/>
      <c r="J15" s="118"/>
      <c r="K15" s="106"/>
      <c r="L15" s="106"/>
      <c r="M15" s="99" t="str">
        <f aca="false">IF(OR(K15="",L15=""),"",IF((IF(L15="Alto",3,IF(L15="Médio",2,1))-IF(K15="Alto",3,IF(K15="Médio",2,1)))=2,"⚡ Quick win",IF((IF(L15="Alto",3,IF(L15="Médio",2,1))-IF(K15="Alto",3,IF(K15="Médio",2,1)))=1,"🚀 Alto retorno",IF(AND(L15="Alto",K15="Alto"),"🎯 Estratégica",IF((IF(L15="Alto",3,IF(L15="Médio",2,1))-IF(K15="Alto",3,IF(K15="Médio",2,1)))=0,"⚖ Equilibrada","⏳ Baixo retorno")))))</f>
        <v/>
      </c>
      <c r="N15" s="105"/>
      <c r="O15" s="105"/>
      <c r="P15" s="106"/>
      <c r="Q15" s="105"/>
      <c r="R15" s="107"/>
      <c r="S15" s="105"/>
      <c r="T15" s="107"/>
      <c r="U15" s="105"/>
    </row>
    <row r="16" customFormat="false" ht="15" hidden="false" customHeight="false" outlineLevel="0" collapsed="false">
      <c r="A16" s="101" t="s">
        <v>1554</v>
      </c>
      <c r="B16" s="102"/>
      <c r="C16" s="102"/>
      <c r="D16" s="102"/>
      <c r="E16" s="102"/>
      <c r="F16" s="99" t="str">
        <f aca="false">IF(E16="","",IFERROR(INDEX('Fontes e Parcerias'!$C$5:$C$500,MATCH(IFERROR(LEFT(E16,FIND(" · ",E16)-1),E16),'Fontes e Parcerias'!$A$5:$A$500,0)),"Fonte não encontrada"))</f>
        <v/>
      </c>
      <c r="G16" s="103"/>
      <c r="H16" s="102"/>
      <c r="I16" s="102"/>
      <c r="J16" s="117"/>
      <c r="K16" s="103"/>
      <c r="L16" s="103"/>
      <c r="M16" s="99" t="str">
        <f aca="false">IF(OR(K16="",L16=""),"",IF((IF(L16="Alto",3,IF(L16="Médio",2,1))-IF(K16="Alto",3,IF(K16="Médio",2,1)))=2,"⚡ Quick win",IF((IF(L16="Alto",3,IF(L16="Médio",2,1))-IF(K16="Alto",3,IF(K16="Médio",2,1)))=1,"🚀 Alto retorno",IF(AND(L16="Alto",K16="Alto"),"🎯 Estratégica",IF((IF(L16="Alto",3,IF(L16="Médio",2,1))-IF(K16="Alto",3,IF(K16="Médio",2,1)))=0,"⚖ Equilibrada","⏳ Baixo retorno")))))</f>
        <v/>
      </c>
      <c r="N16" s="102"/>
      <c r="O16" s="102"/>
      <c r="P16" s="103"/>
      <c r="Q16" s="102"/>
      <c r="R16" s="104"/>
      <c r="S16" s="102"/>
      <c r="T16" s="104"/>
      <c r="U16" s="102"/>
    </row>
    <row r="17" customFormat="false" ht="15" hidden="false" customHeight="false" outlineLevel="0" collapsed="false">
      <c r="A17" s="93" t="s">
        <v>1555</v>
      </c>
      <c r="B17" s="105"/>
      <c r="C17" s="105"/>
      <c r="D17" s="105"/>
      <c r="E17" s="105"/>
      <c r="F17" s="99" t="str">
        <f aca="false">IF(E17="","",IFERROR(INDEX('Fontes e Parcerias'!$C$5:$C$500,MATCH(IFERROR(LEFT(E17,FIND(" · ",E17)-1),E17),'Fontes e Parcerias'!$A$5:$A$500,0)),"Fonte não encontrada"))</f>
        <v/>
      </c>
      <c r="G17" s="106"/>
      <c r="H17" s="105"/>
      <c r="I17" s="105"/>
      <c r="J17" s="118"/>
      <c r="K17" s="106"/>
      <c r="L17" s="106"/>
      <c r="M17" s="99" t="str">
        <f aca="false">IF(OR(K17="",L17=""),"",IF((IF(L17="Alto",3,IF(L17="Médio",2,1))-IF(K17="Alto",3,IF(K17="Médio",2,1)))=2,"⚡ Quick win",IF((IF(L17="Alto",3,IF(L17="Médio",2,1))-IF(K17="Alto",3,IF(K17="Médio",2,1)))=1,"🚀 Alto retorno",IF(AND(L17="Alto",K17="Alto"),"🎯 Estratégica",IF((IF(L17="Alto",3,IF(L17="Médio",2,1))-IF(K17="Alto",3,IF(K17="Médio",2,1)))=0,"⚖ Equilibrada","⏳ Baixo retorno")))))</f>
        <v/>
      </c>
      <c r="N17" s="105"/>
      <c r="O17" s="105"/>
      <c r="P17" s="106"/>
      <c r="Q17" s="105"/>
      <c r="R17" s="107"/>
      <c r="S17" s="105"/>
      <c r="T17" s="107"/>
      <c r="U17" s="105"/>
    </row>
    <row r="18" customFormat="false" ht="15" hidden="false" customHeight="false" outlineLevel="0" collapsed="false">
      <c r="A18" s="101" t="s">
        <v>1556</v>
      </c>
      <c r="B18" s="102"/>
      <c r="C18" s="102"/>
      <c r="D18" s="102"/>
      <c r="E18" s="102"/>
      <c r="F18" s="99" t="str">
        <f aca="false">IF(E18="","",IFERROR(INDEX('Fontes e Parcerias'!$C$5:$C$500,MATCH(IFERROR(LEFT(E18,FIND(" · ",E18)-1),E18),'Fontes e Parcerias'!$A$5:$A$500,0)),"Fonte não encontrada"))</f>
        <v/>
      </c>
      <c r="G18" s="103"/>
      <c r="H18" s="102"/>
      <c r="I18" s="102"/>
      <c r="J18" s="117"/>
      <c r="K18" s="103"/>
      <c r="L18" s="103"/>
      <c r="M18" s="99" t="str">
        <f aca="false">IF(OR(K18="",L18=""),"",IF((IF(L18="Alto",3,IF(L18="Médio",2,1))-IF(K18="Alto",3,IF(K18="Médio",2,1)))=2,"⚡ Quick win",IF((IF(L18="Alto",3,IF(L18="Médio",2,1))-IF(K18="Alto",3,IF(K18="Médio",2,1)))=1,"🚀 Alto retorno",IF(AND(L18="Alto",K18="Alto"),"🎯 Estratégica",IF((IF(L18="Alto",3,IF(L18="Médio",2,1))-IF(K18="Alto",3,IF(K18="Médio",2,1)))=0,"⚖ Equilibrada","⏳ Baixo retorno")))))</f>
        <v/>
      </c>
      <c r="N18" s="102"/>
      <c r="O18" s="102"/>
      <c r="P18" s="103"/>
      <c r="Q18" s="102"/>
      <c r="R18" s="104"/>
      <c r="S18" s="102"/>
      <c r="T18" s="104"/>
      <c r="U18" s="102"/>
    </row>
    <row r="19" customFormat="false" ht="15" hidden="false" customHeight="false" outlineLevel="0" collapsed="false">
      <c r="A19" s="93" t="s">
        <v>1557</v>
      </c>
      <c r="B19" s="105"/>
      <c r="C19" s="105"/>
      <c r="D19" s="105"/>
      <c r="E19" s="105"/>
      <c r="F19" s="99" t="str">
        <f aca="false">IF(E19="","",IFERROR(INDEX('Fontes e Parcerias'!$C$5:$C$500,MATCH(IFERROR(LEFT(E19,FIND(" · ",E19)-1),E19),'Fontes e Parcerias'!$A$5:$A$500,0)),"Fonte não encontrada"))</f>
        <v/>
      </c>
      <c r="G19" s="106"/>
      <c r="H19" s="105"/>
      <c r="I19" s="105"/>
      <c r="J19" s="118"/>
      <c r="K19" s="106"/>
      <c r="L19" s="106"/>
      <c r="M19" s="99" t="str">
        <f aca="false">IF(OR(K19="",L19=""),"",IF((IF(L19="Alto",3,IF(L19="Médio",2,1))-IF(K19="Alto",3,IF(K19="Médio",2,1)))=2,"⚡ Quick win",IF((IF(L19="Alto",3,IF(L19="Médio",2,1))-IF(K19="Alto",3,IF(K19="Médio",2,1)))=1,"🚀 Alto retorno",IF(AND(L19="Alto",K19="Alto"),"🎯 Estratégica",IF((IF(L19="Alto",3,IF(L19="Médio",2,1))-IF(K19="Alto",3,IF(K19="Médio",2,1)))=0,"⚖ Equilibrada","⏳ Baixo retorno")))))</f>
        <v/>
      </c>
      <c r="N19" s="105"/>
      <c r="O19" s="105"/>
      <c r="P19" s="106"/>
      <c r="Q19" s="105"/>
      <c r="R19" s="107"/>
      <c r="S19" s="105"/>
      <c r="T19" s="107"/>
      <c r="U19" s="105"/>
    </row>
    <row r="20" customFormat="false" ht="15" hidden="false" customHeight="false" outlineLevel="0" collapsed="false">
      <c r="A20" s="101" t="s">
        <v>1558</v>
      </c>
      <c r="B20" s="102"/>
      <c r="C20" s="102"/>
      <c r="D20" s="102"/>
      <c r="E20" s="102"/>
      <c r="F20" s="99" t="str">
        <f aca="false">IF(E20="","",IFERROR(INDEX('Fontes e Parcerias'!$C$5:$C$500,MATCH(IFERROR(LEFT(E20,FIND(" · ",E20)-1),E20),'Fontes e Parcerias'!$A$5:$A$500,0)),"Fonte não encontrada"))</f>
        <v/>
      </c>
      <c r="G20" s="103"/>
      <c r="H20" s="102"/>
      <c r="I20" s="102"/>
      <c r="J20" s="117"/>
      <c r="K20" s="103"/>
      <c r="L20" s="103"/>
      <c r="M20" s="99" t="str">
        <f aca="false">IF(OR(K20="",L20=""),"",IF((IF(L20="Alto",3,IF(L20="Médio",2,1))-IF(K20="Alto",3,IF(K20="Médio",2,1)))=2,"⚡ Quick win",IF((IF(L20="Alto",3,IF(L20="Médio",2,1))-IF(K20="Alto",3,IF(K20="Médio",2,1)))=1,"🚀 Alto retorno",IF(AND(L20="Alto",K20="Alto"),"🎯 Estratégica",IF((IF(L20="Alto",3,IF(L20="Médio",2,1))-IF(K20="Alto",3,IF(K20="Médio",2,1)))=0,"⚖ Equilibrada","⏳ Baixo retorno")))))</f>
        <v/>
      </c>
      <c r="N20" s="102"/>
      <c r="O20" s="102"/>
      <c r="P20" s="103"/>
      <c r="Q20" s="102"/>
      <c r="R20" s="104"/>
      <c r="S20" s="102"/>
      <c r="T20" s="104"/>
      <c r="U20" s="102"/>
    </row>
    <row r="21" customFormat="false" ht="15" hidden="false" customHeight="false" outlineLevel="0" collapsed="false">
      <c r="A21" s="93" t="s">
        <v>1559</v>
      </c>
      <c r="B21" s="105"/>
      <c r="C21" s="105"/>
      <c r="D21" s="105"/>
      <c r="E21" s="105"/>
      <c r="F21" s="99" t="str">
        <f aca="false">IF(E21="","",IFERROR(INDEX('Fontes e Parcerias'!$C$5:$C$500,MATCH(IFERROR(LEFT(E21,FIND(" · ",E21)-1),E21),'Fontes e Parcerias'!$A$5:$A$500,0)),"Fonte não encontrada"))</f>
        <v/>
      </c>
      <c r="G21" s="106"/>
      <c r="H21" s="105"/>
      <c r="I21" s="105"/>
      <c r="J21" s="118"/>
      <c r="K21" s="106"/>
      <c r="L21" s="106"/>
      <c r="M21" s="99" t="str">
        <f aca="false">IF(OR(K21="",L21=""),"",IF((IF(L21="Alto",3,IF(L21="Médio",2,1))-IF(K21="Alto",3,IF(K21="Médio",2,1)))=2,"⚡ Quick win",IF((IF(L21="Alto",3,IF(L21="Médio",2,1))-IF(K21="Alto",3,IF(K21="Médio",2,1)))=1,"🚀 Alto retorno",IF(AND(L21="Alto",K21="Alto"),"🎯 Estratégica",IF((IF(L21="Alto",3,IF(L21="Médio",2,1))-IF(K21="Alto",3,IF(K21="Médio",2,1)))=0,"⚖ Equilibrada","⏳ Baixo retorno")))))</f>
        <v/>
      </c>
      <c r="N21" s="105"/>
      <c r="O21" s="105"/>
      <c r="P21" s="106"/>
      <c r="Q21" s="105"/>
      <c r="R21" s="107"/>
      <c r="S21" s="105"/>
      <c r="T21" s="107"/>
      <c r="U21" s="105"/>
    </row>
    <row r="22" customFormat="false" ht="15" hidden="false" customHeight="false" outlineLevel="0" collapsed="false">
      <c r="A22" s="101" t="s">
        <v>1560</v>
      </c>
      <c r="B22" s="102"/>
      <c r="C22" s="102"/>
      <c r="D22" s="102"/>
      <c r="E22" s="102"/>
      <c r="F22" s="99" t="str">
        <f aca="false">IF(E22="","",IFERROR(INDEX('Fontes e Parcerias'!$C$5:$C$500,MATCH(IFERROR(LEFT(E22,FIND(" · ",E22)-1),E22),'Fontes e Parcerias'!$A$5:$A$500,0)),"Fonte não encontrada"))</f>
        <v/>
      </c>
      <c r="G22" s="103"/>
      <c r="H22" s="102"/>
      <c r="I22" s="102"/>
      <c r="J22" s="117"/>
      <c r="K22" s="103"/>
      <c r="L22" s="103"/>
      <c r="M22" s="99" t="str">
        <f aca="false">IF(OR(K22="",L22=""),"",IF((IF(L22="Alto",3,IF(L22="Médio",2,1))-IF(K22="Alto",3,IF(K22="Médio",2,1)))=2,"⚡ Quick win",IF((IF(L22="Alto",3,IF(L22="Médio",2,1))-IF(K22="Alto",3,IF(K22="Médio",2,1)))=1,"🚀 Alto retorno",IF(AND(L22="Alto",K22="Alto"),"🎯 Estratégica",IF((IF(L22="Alto",3,IF(L22="Médio",2,1))-IF(K22="Alto",3,IF(K22="Médio",2,1)))=0,"⚖ Equilibrada","⏳ Baixo retorno")))))</f>
        <v/>
      </c>
      <c r="N22" s="102"/>
      <c r="O22" s="102"/>
      <c r="P22" s="103"/>
      <c r="Q22" s="102"/>
      <c r="R22" s="104"/>
      <c r="S22" s="102"/>
      <c r="T22" s="104"/>
      <c r="U22" s="102"/>
    </row>
    <row r="23" customFormat="false" ht="15" hidden="false" customHeight="false" outlineLevel="0" collapsed="false">
      <c r="A23" s="93" t="s">
        <v>1561</v>
      </c>
      <c r="B23" s="105"/>
      <c r="C23" s="105"/>
      <c r="D23" s="105"/>
      <c r="E23" s="105"/>
      <c r="F23" s="99" t="str">
        <f aca="false">IF(E23="","",IFERROR(INDEX('Fontes e Parcerias'!$C$5:$C$500,MATCH(IFERROR(LEFT(E23,FIND(" · ",E23)-1),E23),'Fontes e Parcerias'!$A$5:$A$500,0)),"Fonte não encontrada"))</f>
        <v/>
      </c>
      <c r="G23" s="106"/>
      <c r="H23" s="105"/>
      <c r="I23" s="105"/>
      <c r="J23" s="118"/>
      <c r="K23" s="106"/>
      <c r="L23" s="106"/>
      <c r="M23" s="99" t="str">
        <f aca="false">IF(OR(K23="",L23=""),"",IF((IF(L23="Alto",3,IF(L23="Médio",2,1))-IF(K23="Alto",3,IF(K23="Médio",2,1)))=2,"⚡ Quick win",IF((IF(L23="Alto",3,IF(L23="Médio",2,1))-IF(K23="Alto",3,IF(K23="Médio",2,1)))=1,"🚀 Alto retorno",IF(AND(L23="Alto",K23="Alto"),"🎯 Estratégica",IF((IF(L23="Alto",3,IF(L23="Médio",2,1))-IF(K23="Alto",3,IF(K23="Médio",2,1)))=0,"⚖ Equilibrada","⏳ Baixo retorno")))))</f>
        <v/>
      </c>
      <c r="N23" s="105"/>
      <c r="O23" s="105"/>
      <c r="P23" s="106"/>
      <c r="Q23" s="105"/>
      <c r="R23" s="107"/>
      <c r="S23" s="105"/>
      <c r="T23" s="107"/>
      <c r="U23" s="105"/>
    </row>
    <row r="24" customFormat="false" ht="15" hidden="false" customHeight="false" outlineLevel="0" collapsed="false">
      <c r="A24" s="101" t="s">
        <v>1562</v>
      </c>
      <c r="B24" s="102"/>
      <c r="C24" s="102"/>
      <c r="D24" s="102"/>
      <c r="E24" s="102"/>
      <c r="F24" s="99" t="str">
        <f aca="false">IF(E24="","",IFERROR(INDEX('Fontes e Parcerias'!$C$5:$C$500,MATCH(IFERROR(LEFT(E24,FIND(" · ",E24)-1),E24),'Fontes e Parcerias'!$A$5:$A$500,0)),"Fonte não encontrada"))</f>
        <v/>
      </c>
      <c r="G24" s="103"/>
      <c r="H24" s="102"/>
      <c r="I24" s="102"/>
      <c r="J24" s="117"/>
      <c r="K24" s="103"/>
      <c r="L24" s="103"/>
      <c r="M24" s="99" t="str">
        <f aca="false">IF(OR(K24="",L24=""),"",IF((IF(L24="Alto",3,IF(L24="Médio",2,1))-IF(K24="Alto",3,IF(K24="Médio",2,1)))=2,"⚡ Quick win",IF((IF(L24="Alto",3,IF(L24="Médio",2,1))-IF(K24="Alto",3,IF(K24="Médio",2,1)))=1,"🚀 Alto retorno",IF(AND(L24="Alto",K24="Alto"),"🎯 Estratégica",IF((IF(L24="Alto",3,IF(L24="Médio",2,1))-IF(K24="Alto",3,IF(K24="Médio",2,1)))=0,"⚖ Equilibrada","⏳ Baixo retorno")))))</f>
        <v/>
      </c>
      <c r="N24" s="102"/>
      <c r="O24" s="102"/>
      <c r="P24" s="103"/>
      <c r="Q24" s="102"/>
      <c r="R24" s="104"/>
      <c r="S24" s="102"/>
      <c r="T24" s="104"/>
      <c r="U24" s="102"/>
    </row>
    <row r="25" customFormat="false" ht="15" hidden="false" customHeight="false" outlineLevel="0" collapsed="false">
      <c r="A25" s="93" t="s">
        <v>1563</v>
      </c>
      <c r="B25" s="105"/>
      <c r="C25" s="105"/>
      <c r="D25" s="105"/>
      <c r="E25" s="105"/>
      <c r="F25" s="99" t="str">
        <f aca="false">IF(E25="","",IFERROR(INDEX('Fontes e Parcerias'!$C$5:$C$500,MATCH(IFERROR(LEFT(E25,FIND(" · ",E25)-1),E25),'Fontes e Parcerias'!$A$5:$A$500,0)),"Fonte não encontrada"))</f>
        <v/>
      </c>
      <c r="G25" s="106"/>
      <c r="H25" s="105"/>
      <c r="I25" s="105"/>
      <c r="J25" s="118"/>
      <c r="K25" s="106"/>
      <c r="L25" s="106"/>
      <c r="M25" s="99" t="str">
        <f aca="false">IF(OR(K25="",L25=""),"",IF((IF(L25="Alto",3,IF(L25="Médio",2,1))-IF(K25="Alto",3,IF(K25="Médio",2,1)))=2,"⚡ Quick win",IF((IF(L25="Alto",3,IF(L25="Médio",2,1))-IF(K25="Alto",3,IF(K25="Médio",2,1)))=1,"🚀 Alto retorno",IF(AND(L25="Alto",K25="Alto"),"🎯 Estratégica",IF((IF(L25="Alto",3,IF(L25="Médio",2,1))-IF(K25="Alto",3,IF(K25="Médio",2,1)))=0,"⚖ Equilibrada","⏳ Baixo retorno")))))</f>
        <v/>
      </c>
      <c r="N25" s="105"/>
      <c r="O25" s="105"/>
      <c r="P25" s="106"/>
      <c r="Q25" s="105"/>
      <c r="R25" s="107"/>
      <c r="S25" s="105"/>
      <c r="T25" s="107"/>
      <c r="U25" s="105"/>
    </row>
    <row r="26" customFormat="false" ht="15" hidden="false" customHeight="false" outlineLevel="0" collapsed="false">
      <c r="A26" s="101" t="s">
        <v>1564</v>
      </c>
      <c r="B26" s="102"/>
      <c r="C26" s="102"/>
      <c r="D26" s="102"/>
      <c r="E26" s="102"/>
      <c r="F26" s="99" t="str">
        <f aca="false">IF(E26="","",IFERROR(INDEX('Fontes e Parcerias'!$C$5:$C$500,MATCH(IFERROR(LEFT(E26,FIND(" · ",E26)-1),E26),'Fontes e Parcerias'!$A$5:$A$500,0)),"Fonte não encontrada"))</f>
        <v/>
      </c>
      <c r="G26" s="103"/>
      <c r="H26" s="102"/>
      <c r="I26" s="102"/>
      <c r="J26" s="117"/>
      <c r="K26" s="103"/>
      <c r="L26" s="103"/>
      <c r="M26" s="99" t="str">
        <f aca="false">IF(OR(K26="",L26=""),"",IF((IF(L26="Alto",3,IF(L26="Médio",2,1))-IF(K26="Alto",3,IF(K26="Médio",2,1)))=2,"⚡ Quick win",IF((IF(L26="Alto",3,IF(L26="Médio",2,1))-IF(K26="Alto",3,IF(K26="Médio",2,1)))=1,"🚀 Alto retorno",IF(AND(L26="Alto",K26="Alto"),"🎯 Estratégica",IF((IF(L26="Alto",3,IF(L26="Médio",2,1))-IF(K26="Alto",3,IF(K26="Médio",2,1)))=0,"⚖ Equilibrada","⏳ Baixo retorno")))))</f>
        <v/>
      </c>
      <c r="N26" s="102"/>
      <c r="O26" s="102"/>
      <c r="P26" s="103"/>
      <c r="Q26" s="102"/>
      <c r="R26" s="104"/>
      <c r="S26" s="102"/>
      <c r="T26" s="104"/>
      <c r="U26" s="102"/>
    </row>
    <row r="27" customFormat="false" ht="15" hidden="false" customHeight="false" outlineLevel="0" collapsed="false">
      <c r="A27" s="93" t="s">
        <v>1565</v>
      </c>
      <c r="B27" s="105"/>
      <c r="C27" s="105"/>
      <c r="D27" s="105"/>
      <c r="E27" s="105"/>
      <c r="F27" s="99" t="str">
        <f aca="false">IF(E27="","",IFERROR(INDEX('Fontes e Parcerias'!$C$5:$C$500,MATCH(IFERROR(LEFT(E27,FIND(" · ",E27)-1),E27),'Fontes e Parcerias'!$A$5:$A$500,0)),"Fonte não encontrada"))</f>
        <v/>
      </c>
      <c r="G27" s="106"/>
      <c r="H27" s="105"/>
      <c r="I27" s="105"/>
      <c r="J27" s="118"/>
      <c r="K27" s="106"/>
      <c r="L27" s="106"/>
      <c r="M27" s="99" t="str">
        <f aca="false">IF(OR(K27="",L27=""),"",IF((IF(L27="Alto",3,IF(L27="Médio",2,1))-IF(K27="Alto",3,IF(K27="Médio",2,1)))=2,"⚡ Quick win",IF((IF(L27="Alto",3,IF(L27="Médio",2,1))-IF(K27="Alto",3,IF(K27="Médio",2,1)))=1,"🚀 Alto retorno",IF(AND(L27="Alto",K27="Alto"),"🎯 Estratégica",IF((IF(L27="Alto",3,IF(L27="Médio",2,1))-IF(K27="Alto",3,IF(K27="Médio",2,1)))=0,"⚖ Equilibrada","⏳ Baixo retorno")))))</f>
        <v/>
      </c>
      <c r="N27" s="105"/>
      <c r="O27" s="105"/>
      <c r="P27" s="106"/>
      <c r="Q27" s="105"/>
      <c r="R27" s="107"/>
      <c r="S27" s="105"/>
      <c r="T27" s="107"/>
      <c r="U27" s="105"/>
    </row>
    <row r="28" customFormat="false" ht="15" hidden="false" customHeight="false" outlineLevel="0" collapsed="false">
      <c r="A28" s="101" t="s">
        <v>1566</v>
      </c>
      <c r="B28" s="102"/>
      <c r="C28" s="102"/>
      <c r="D28" s="102"/>
      <c r="E28" s="102"/>
      <c r="F28" s="99" t="str">
        <f aca="false">IF(E28="","",IFERROR(INDEX('Fontes e Parcerias'!$C$5:$C$500,MATCH(IFERROR(LEFT(E28,FIND(" · ",E28)-1),E28),'Fontes e Parcerias'!$A$5:$A$500,0)),"Fonte não encontrada"))</f>
        <v/>
      </c>
      <c r="G28" s="103"/>
      <c r="H28" s="102"/>
      <c r="I28" s="102"/>
      <c r="J28" s="117"/>
      <c r="K28" s="103"/>
      <c r="L28" s="103"/>
      <c r="M28" s="99" t="str">
        <f aca="false">IF(OR(K28="",L28=""),"",IF((IF(L28="Alto",3,IF(L28="Médio",2,1))-IF(K28="Alto",3,IF(K28="Médio",2,1)))=2,"⚡ Quick win",IF((IF(L28="Alto",3,IF(L28="Médio",2,1))-IF(K28="Alto",3,IF(K28="Médio",2,1)))=1,"🚀 Alto retorno",IF(AND(L28="Alto",K28="Alto"),"🎯 Estratégica",IF((IF(L28="Alto",3,IF(L28="Médio",2,1))-IF(K28="Alto",3,IF(K28="Médio",2,1)))=0,"⚖ Equilibrada","⏳ Baixo retorno")))))</f>
        <v/>
      </c>
      <c r="N28" s="102"/>
      <c r="O28" s="102"/>
      <c r="P28" s="103"/>
      <c r="Q28" s="102"/>
      <c r="R28" s="104"/>
      <c r="S28" s="102"/>
      <c r="T28" s="104"/>
      <c r="U28" s="102"/>
    </row>
    <row r="29" customFormat="false" ht="15" hidden="false" customHeight="false" outlineLevel="0" collapsed="false">
      <c r="A29" s="93" t="s">
        <v>1567</v>
      </c>
      <c r="B29" s="105"/>
      <c r="C29" s="105"/>
      <c r="D29" s="105"/>
      <c r="E29" s="105"/>
      <c r="F29" s="99" t="str">
        <f aca="false">IF(E29="","",IFERROR(INDEX('Fontes e Parcerias'!$C$5:$C$500,MATCH(IFERROR(LEFT(E29,FIND(" · ",E29)-1),E29),'Fontes e Parcerias'!$A$5:$A$500,0)),"Fonte não encontrada"))</f>
        <v/>
      </c>
      <c r="G29" s="106"/>
      <c r="H29" s="105"/>
      <c r="I29" s="105"/>
      <c r="J29" s="118"/>
      <c r="K29" s="106"/>
      <c r="L29" s="106"/>
      <c r="M29" s="99" t="str">
        <f aca="false">IF(OR(K29="",L29=""),"",IF((IF(L29="Alto",3,IF(L29="Médio",2,1))-IF(K29="Alto",3,IF(K29="Médio",2,1)))=2,"⚡ Quick win",IF((IF(L29="Alto",3,IF(L29="Médio",2,1))-IF(K29="Alto",3,IF(K29="Médio",2,1)))=1,"🚀 Alto retorno",IF(AND(L29="Alto",K29="Alto"),"🎯 Estratégica",IF((IF(L29="Alto",3,IF(L29="Médio",2,1))-IF(K29="Alto",3,IF(K29="Médio",2,1)))=0,"⚖ Equilibrada","⏳ Baixo retorno")))))</f>
        <v/>
      </c>
      <c r="N29" s="105"/>
      <c r="O29" s="105"/>
      <c r="P29" s="106"/>
      <c r="Q29" s="105"/>
      <c r="R29" s="107"/>
      <c r="S29" s="105"/>
      <c r="T29" s="107"/>
      <c r="U29" s="105"/>
    </row>
    <row r="30" customFormat="false" ht="15" hidden="false" customHeight="false" outlineLevel="0" collapsed="false">
      <c r="A30" s="101" t="s">
        <v>1568</v>
      </c>
      <c r="B30" s="102"/>
      <c r="C30" s="102"/>
      <c r="D30" s="102"/>
      <c r="E30" s="102"/>
      <c r="F30" s="99" t="str">
        <f aca="false">IF(E30="","",IFERROR(INDEX('Fontes e Parcerias'!$C$5:$C$500,MATCH(IFERROR(LEFT(E30,FIND(" · ",E30)-1),E30),'Fontes e Parcerias'!$A$5:$A$500,0)),"Fonte não encontrada"))</f>
        <v/>
      </c>
      <c r="G30" s="103"/>
      <c r="H30" s="102"/>
      <c r="I30" s="102"/>
      <c r="J30" s="117"/>
      <c r="K30" s="103"/>
      <c r="L30" s="103"/>
      <c r="M30" s="99" t="str">
        <f aca="false">IF(OR(K30="",L30=""),"",IF((IF(L30="Alto",3,IF(L30="Médio",2,1))-IF(K30="Alto",3,IF(K30="Médio",2,1)))=2,"⚡ Quick win",IF((IF(L30="Alto",3,IF(L30="Médio",2,1))-IF(K30="Alto",3,IF(K30="Médio",2,1)))=1,"🚀 Alto retorno",IF(AND(L30="Alto",K30="Alto"),"🎯 Estratégica",IF((IF(L30="Alto",3,IF(L30="Médio",2,1))-IF(K30="Alto",3,IF(K30="Médio",2,1)))=0,"⚖ Equilibrada","⏳ Baixo retorno")))))</f>
        <v/>
      </c>
      <c r="N30" s="102"/>
      <c r="O30" s="102"/>
      <c r="P30" s="103"/>
      <c r="Q30" s="102"/>
      <c r="R30" s="104"/>
      <c r="S30" s="102"/>
      <c r="T30" s="104"/>
      <c r="U30" s="102"/>
    </row>
    <row r="31" customFormat="false" ht="15" hidden="false" customHeight="false" outlineLevel="0" collapsed="false">
      <c r="A31" s="93" t="s">
        <v>1569</v>
      </c>
      <c r="B31" s="105"/>
      <c r="C31" s="105"/>
      <c r="D31" s="105"/>
      <c r="E31" s="105"/>
      <c r="F31" s="99" t="str">
        <f aca="false">IF(E31="","",IFERROR(INDEX('Fontes e Parcerias'!$C$5:$C$500,MATCH(IFERROR(LEFT(E31,FIND(" · ",E31)-1),E31),'Fontes e Parcerias'!$A$5:$A$500,0)),"Fonte não encontrada"))</f>
        <v/>
      </c>
      <c r="G31" s="106"/>
      <c r="H31" s="105"/>
      <c r="I31" s="105"/>
      <c r="J31" s="118"/>
      <c r="K31" s="106"/>
      <c r="L31" s="106"/>
      <c r="M31" s="99" t="str">
        <f aca="false">IF(OR(K31="",L31=""),"",IF((IF(L31="Alto",3,IF(L31="Médio",2,1))-IF(K31="Alto",3,IF(K31="Médio",2,1)))=2,"⚡ Quick win",IF((IF(L31="Alto",3,IF(L31="Médio",2,1))-IF(K31="Alto",3,IF(K31="Médio",2,1)))=1,"🚀 Alto retorno",IF(AND(L31="Alto",K31="Alto"),"🎯 Estratégica",IF((IF(L31="Alto",3,IF(L31="Médio",2,1))-IF(K31="Alto",3,IF(K31="Médio",2,1)))=0,"⚖ Equilibrada","⏳ Baixo retorno")))))</f>
        <v/>
      </c>
      <c r="N31" s="105"/>
      <c r="O31" s="105"/>
      <c r="P31" s="106"/>
      <c r="Q31" s="105"/>
      <c r="R31" s="107"/>
      <c r="S31" s="105"/>
      <c r="T31" s="107"/>
      <c r="U31" s="105"/>
    </row>
    <row r="32" customFormat="false" ht="15" hidden="false" customHeight="false" outlineLevel="0" collapsed="false">
      <c r="A32" s="101" t="s">
        <v>1570</v>
      </c>
      <c r="B32" s="102"/>
      <c r="C32" s="102"/>
      <c r="D32" s="102"/>
      <c r="E32" s="102"/>
      <c r="F32" s="99" t="str">
        <f aca="false">IF(E32="","",IFERROR(INDEX('Fontes e Parcerias'!$C$5:$C$500,MATCH(IFERROR(LEFT(E32,FIND(" · ",E32)-1),E32),'Fontes e Parcerias'!$A$5:$A$500,0)),"Fonte não encontrada"))</f>
        <v/>
      </c>
      <c r="G32" s="103"/>
      <c r="H32" s="102"/>
      <c r="I32" s="102"/>
      <c r="J32" s="117"/>
      <c r="K32" s="103"/>
      <c r="L32" s="103"/>
      <c r="M32" s="99" t="str">
        <f aca="false">IF(OR(K32="",L32=""),"",IF((IF(L32="Alto",3,IF(L32="Médio",2,1))-IF(K32="Alto",3,IF(K32="Médio",2,1)))=2,"⚡ Quick win",IF((IF(L32="Alto",3,IF(L32="Médio",2,1))-IF(K32="Alto",3,IF(K32="Médio",2,1)))=1,"🚀 Alto retorno",IF(AND(L32="Alto",K32="Alto"),"🎯 Estratégica",IF((IF(L32="Alto",3,IF(L32="Médio",2,1))-IF(K32="Alto",3,IF(K32="Médio",2,1)))=0,"⚖ Equilibrada","⏳ Baixo retorno")))))</f>
        <v/>
      </c>
      <c r="N32" s="102"/>
      <c r="O32" s="102"/>
      <c r="P32" s="103"/>
      <c r="Q32" s="102"/>
      <c r="R32" s="104"/>
      <c r="S32" s="102"/>
      <c r="T32" s="104"/>
      <c r="U32" s="102"/>
    </row>
    <row r="33" customFormat="false" ht="15" hidden="false" customHeight="false" outlineLevel="0" collapsed="false">
      <c r="A33" s="93" t="s">
        <v>1571</v>
      </c>
      <c r="B33" s="105"/>
      <c r="C33" s="105"/>
      <c r="D33" s="105"/>
      <c r="E33" s="105"/>
      <c r="F33" s="99" t="str">
        <f aca="false">IF(E33="","",IFERROR(INDEX('Fontes e Parcerias'!$C$5:$C$500,MATCH(IFERROR(LEFT(E33,FIND(" · ",E33)-1),E33),'Fontes e Parcerias'!$A$5:$A$500,0)),"Fonte não encontrada"))</f>
        <v/>
      </c>
      <c r="G33" s="106"/>
      <c r="H33" s="105"/>
      <c r="I33" s="105"/>
      <c r="J33" s="118"/>
      <c r="K33" s="106"/>
      <c r="L33" s="106"/>
      <c r="M33" s="99" t="str">
        <f aca="false">IF(OR(K33="",L33=""),"",IF((IF(L33="Alto",3,IF(L33="Médio",2,1))-IF(K33="Alto",3,IF(K33="Médio",2,1)))=2,"⚡ Quick win",IF((IF(L33="Alto",3,IF(L33="Médio",2,1))-IF(K33="Alto",3,IF(K33="Médio",2,1)))=1,"🚀 Alto retorno",IF(AND(L33="Alto",K33="Alto"),"🎯 Estratégica",IF((IF(L33="Alto",3,IF(L33="Médio",2,1))-IF(K33="Alto",3,IF(K33="Médio",2,1)))=0,"⚖ Equilibrada","⏳ Baixo retorno")))))</f>
        <v/>
      </c>
      <c r="N33" s="105"/>
      <c r="O33" s="105"/>
      <c r="P33" s="106"/>
      <c r="Q33" s="105"/>
      <c r="R33" s="107"/>
      <c r="S33" s="105"/>
      <c r="T33" s="107"/>
      <c r="U33" s="105"/>
    </row>
    <row r="34" customFormat="false" ht="15" hidden="false" customHeight="false" outlineLevel="0" collapsed="false">
      <c r="A34" s="101" t="s">
        <v>1572</v>
      </c>
      <c r="B34" s="102"/>
      <c r="C34" s="102"/>
      <c r="D34" s="102"/>
      <c r="E34" s="102"/>
      <c r="F34" s="99" t="str">
        <f aca="false">IF(E34="","",IFERROR(INDEX('Fontes e Parcerias'!$C$5:$C$500,MATCH(IFERROR(LEFT(E34,FIND(" · ",E34)-1),E34),'Fontes e Parcerias'!$A$5:$A$500,0)),"Fonte não encontrada"))</f>
        <v/>
      </c>
      <c r="G34" s="103"/>
      <c r="H34" s="102"/>
      <c r="I34" s="102"/>
      <c r="J34" s="117"/>
      <c r="K34" s="103"/>
      <c r="L34" s="103"/>
      <c r="M34" s="99" t="str">
        <f aca="false">IF(OR(K34="",L34=""),"",IF((IF(L34="Alto",3,IF(L34="Médio",2,1))-IF(K34="Alto",3,IF(K34="Médio",2,1)))=2,"⚡ Quick win",IF((IF(L34="Alto",3,IF(L34="Médio",2,1))-IF(K34="Alto",3,IF(K34="Médio",2,1)))=1,"🚀 Alto retorno",IF(AND(L34="Alto",K34="Alto"),"🎯 Estratégica",IF((IF(L34="Alto",3,IF(L34="Médio",2,1))-IF(K34="Alto",3,IF(K34="Médio",2,1)))=0,"⚖ Equilibrada","⏳ Baixo retorno")))))</f>
        <v/>
      </c>
      <c r="N34" s="102"/>
      <c r="O34" s="102"/>
      <c r="P34" s="103"/>
      <c r="Q34" s="102"/>
      <c r="R34" s="104"/>
      <c r="S34" s="102"/>
      <c r="T34" s="104"/>
      <c r="U34" s="102"/>
    </row>
    <row r="35" customFormat="false" ht="15" hidden="false" customHeight="false" outlineLevel="0" collapsed="false">
      <c r="A35" s="93" t="s">
        <v>1573</v>
      </c>
      <c r="B35" s="105"/>
      <c r="C35" s="105"/>
      <c r="D35" s="105"/>
      <c r="E35" s="105"/>
      <c r="F35" s="99" t="str">
        <f aca="false">IF(E35="","",IFERROR(INDEX('Fontes e Parcerias'!$C$5:$C$500,MATCH(IFERROR(LEFT(E35,FIND(" · ",E35)-1),E35),'Fontes e Parcerias'!$A$5:$A$500,0)),"Fonte não encontrada"))</f>
        <v/>
      </c>
      <c r="G35" s="106"/>
      <c r="H35" s="105"/>
      <c r="I35" s="105"/>
      <c r="J35" s="118"/>
      <c r="K35" s="106"/>
      <c r="L35" s="106"/>
      <c r="M35" s="99" t="str">
        <f aca="false">IF(OR(K35="",L35=""),"",IF((IF(L35="Alto",3,IF(L35="Médio",2,1))-IF(K35="Alto",3,IF(K35="Médio",2,1)))=2,"⚡ Quick win",IF((IF(L35="Alto",3,IF(L35="Médio",2,1))-IF(K35="Alto",3,IF(K35="Médio",2,1)))=1,"🚀 Alto retorno",IF(AND(L35="Alto",K35="Alto"),"🎯 Estratégica",IF((IF(L35="Alto",3,IF(L35="Médio",2,1))-IF(K35="Alto",3,IF(K35="Médio",2,1)))=0,"⚖ Equilibrada","⏳ Baixo retorno")))))</f>
        <v/>
      </c>
      <c r="N35" s="105"/>
      <c r="O35" s="105"/>
      <c r="P35" s="106"/>
      <c r="Q35" s="105"/>
      <c r="R35" s="107"/>
      <c r="S35" s="105"/>
      <c r="T35" s="107"/>
      <c r="U35" s="105"/>
    </row>
    <row r="36" customFormat="false" ht="15" hidden="false" customHeight="false" outlineLevel="0" collapsed="false">
      <c r="A36" s="101" t="s">
        <v>1574</v>
      </c>
      <c r="B36" s="102"/>
      <c r="C36" s="102"/>
      <c r="D36" s="102"/>
      <c r="E36" s="102"/>
      <c r="F36" s="99" t="str">
        <f aca="false">IF(E36="","",IFERROR(INDEX('Fontes e Parcerias'!$C$5:$C$500,MATCH(IFERROR(LEFT(E36,FIND(" · ",E36)-1),E36),'Fontes e Parcerias'!$A$5:$A$500,0)),"Fonte não encontrada"))</f>
        <v/>
      </c>
      <c r="G36" s="103"/>
      <c r="H36" s="102"/>
      <c r="I36" s="102"/>
      <c r="J36" s="117"/>
      <c r="K36" s="103"/>
      <c r="L36" s="103"/>
      <c r="M36" s="99" t="str">
        <f aca="false">IF(OR(K36="",L36=""),"",IF((IF(L36="Alto",3,IF(L36="Médio",2,1))-IF(K36="Alto",3,IF(K36="Médio",2,1)))=2,"⚡ Quick win",IF((IF(L36="Alto",3,IF(L36="Médio",2,1))-IF(K36="Alto",3,IF(K36="Médio",2,1)))=1,"🚀 Alto retorno",IF(AND(L36="Alto",K36="Alto"),"🎯 Estratégica",IF((IF(L36="Alto",3,IF(L36="Médio",2,1))-IF(K36="Alto",3,IF(K36="Médio",2,1)))=0,"⚖ Equilibrada","⏳ Baixo retorno")))))</f>
        <v/>
      </c>
      <c r="N36" s="102"/>
      <c r="O36" s="102"/>
      <c r="P36" s="103"/>
      <c r="Q36" s="102"/>
      <c r="R36" s="104"/>
      <c r="S36" s="102"/>
      <c r="T36" s="104"/>
      <c r="U36" s="102"/>
    </row>
    <row r="37" customFormat="false" ht="15" hidden="false" customHeight="false" outlineLevel="0" collapsed="false">
      <c r="A37" s="93" t="s">
        <v>1575</v>
      </c>
      <c r="B37" s="105"/>
      <c r="C37" s="105"/>
      <c r="D37" s="105"/>
      <c r="E37" s="105"/>
      <c r="F37" s="99" t="str">
        <f aca="false">IF(E37="","",IFERROR(INDEX('Fontes e Parcerias'!$C$5:$C$500,MATCH(IFERROR(LEFT(E37,FIND(" · ",E37)-1),E37),'Fontes e Parcerias'!$A$5:$A$500,0)),"Fonte não encontrada"))</f>
        <v/>
      </c>
      <c r="G37" s="106"/>
      <c r="H37" s="105"/>
      <c r="I37" s="105"/>
      <c r="J37" s="118"/>
      <c r="K37" s="106"/>
      <c r="L37" s="106"/>
      <c r="M37" s="99" t="str">
        <f aca="false">IF(OR(K37="",L37=""),"",IF((IF(L37="Alto",3,IF(L37="Médio",2,1))-IF(K37="Alto",3,IF(K37="Médio",2,1)))=2,"⚡ Quick win",IF((IF(L37="Alto",3,IF(L37="Médio",2,1))-IF(K37="Alto",3,IF(K37="Médio",2,1)))=1,"🚀 Alto retorno",IF(AND(L37="Alto",K37="Alto"),"🎯 Estratégica",IF((IF(L37="Alto",3,IF(L37="Médio",2,1))-IF(K37="Alto",3,IF(K37="Médio",2,1)))=0,"⚖ Equilibrada","⏳ Baixo retorno")))))</f>
        <v/>
      </c>
      <c r="N37" s="105"/>
      <c r="O37" s="105"/>
      <c r="P37" s="106"/>
      <c r="Q37" s="105"/>
      <c r="R37" s="107"/>
      <c r="S37" s="105"/>
      <c r="T37" s="107"/>
      <c r="U37" s="105"/>
    </row>
    <row r="38" customFormat="false" ht="15" hidden="false" customHeight="false" outlineLevel="0" collapsed="false">
      <c r="A38" s="101" t="s">
        <v>1576</v>
      </c>
      <c r="B38" s="102"/>
      <c r="C38" s="102"/>
      <c r="D38" s="102"/>
      <c r="E38" s="102"/>
      <c r="F38" s="99" t="str">
        <f aca="false">IF(E38="","",IFERROR(INDEX('Fontes e Parcerias'!$C$5:$C$500,MATCH(IFERROR(LEFT(E38,FIND(" · ",E38)-1),E38),'Fontes e Parcerias'!$A$5:$A$500,0)),"Fonte não encontrada"))</f>
        <v/>
      </c>
      <c r="G38" s="103"/>
      <c r="H38" s="102"/>
      <c r="I38" s="102"/>
      <c r="J38" s="117"/>
      <c r="K38" s="103"/>
      <c r="L38" s="103"/>
      <c r="M38" s="99" t="str">
        <f aca="false">IF(OR(K38="",L38=""),"",IF((IF(L38="Alto",3,IF(L38="Médio",2,1))-IF(K38="Alto",3,IF(K38="Médio",2,1)))=2,"⚡ Quick win",IF((IF(L38="Alto",3,IF(L38="Médio",2,1))-IF(K38="Alto",3,IF(K38="Médio",2,1)))=1,"🚀 Alto retorno",IF(AND(L38="Alto",K38="Alto"),"🎯 Estratégica",IF((IF(L38="Alto",3,IF(L38="Médio",2,1))-IF(K38="Alto",3,IF(K38="Médio",2,1)))=0,"⚖ Equilibrada","⏳ Baixo retorno")))))</f>
        <v/>
      </c>
      <c r="N38" s="102"/>
      <c r="O38" s="102"/>
      <c r="P38" s="103"/>
      <c r="Q38" s="102"/>
      <c r="R38" s="104"/>
      <c r="S38" s="102"/>
      <c r="T38" s="104"/>
      <c r="U38" s="102"/>
    </row>
    <row r="39" customFormat="false" ht="15" hidden="false" customHeight="false" outlineLevel="0" collapsed="false">
      <c r="A39" s="93" t="s">
        <v>1577</v>
      </c>
      <c r="B39" s="105"/>
      <c r="C39" s="105"/>
      <c r="D39" s="105"/>
      <c r="E39" s="105"/>
      <c r="F39" s="99" t="str">
        <f aca="false">IF(E39="","",IFERROR(INDEX('Fontes e Parcerias'!$C$5:$C$500,MATCH(IFERROR(LEFT(E39,FIND(" · ",E39)-1),E39),'Fontes e Parcerias'!$A$5:$A$500,0)),"Fonte não encontrada"))</f>
        <v/>
      </c>
      <c r="G39" s="106"/>
      <c r="H39" s="105"/>
      <c r="I39" s="105"/>
      <c r="J39" s="118"/>
      <c r="K39" s="106"/>
      <c r="L39" s="106"/>
      <c r="M39" s="99" t="str">
        <f aca="false">IF(OR(K39="",L39=""),"",IF((IF(L39="Alto",3,IF(L39="Médio",2,1))-IF(K39="Alto",3,IF(K39="Médio",2,1)))=2,"⚡ Quick win",IF((IF(L39="Alto",3,IF(L39="Médio",2,1))-IF(K39="Alto",3,IF(K39="Médio",2,1)))=1,"🚀 Alto retorno",IF(AND(L39="Alto",K39="Alto"),"🎯 Estratégica",IF((IF(L39="Alto",3,IF(L39="Médio",2,1))-IF(K39="Alto",3,IF(K39="Médio",2,1)))=0,"⚖ Equilibrada","⏳ Baixo retorno")))))</f>
        <v/>
      </c>
      <c r="N39" s="105"/>
      <c r="O39" s="105"/>
      <c r="P39" s="106"/>
      <c r="Q39" s="105"/>
      <c r="R39" s="107"/>
      <c r="S39" s="105"/>
      <c r="T39" s="107"/>
      <c r="U39" s="105"/>
    </row>
    <row r="40" customFormat="false" ht="15" hidden="false" customHeight="false" outlineLevel="0" collapsed="false">
      <c r="A40" s="101" t="s">
        <v>1578</v>
      </c>
      <c r="B40" s="102"/>
      <c r="C40" s="102"/>
      <c r="D40" s="102"/>
      <c r="E40" s="102"/>
      <c r="F40" s="99" t="str">
        <f aca="false">IF(E40="","",IFERROR(INDEX('Fontes e Parcerias'!$C$5:$C$500,MATCH(IFERROR(LEFT(E40,FIND(" · ",E40)-1),E40),'Fontes e Parcerias'!$A$5:$A$500,0)),"Fonte não encontrada"))</f>
        <v/>
      </c>
      <c r="G40" s="103"/>
      <c r="H40" s="102"/>
      <c r="I40" s="102"/>
      <c r="J40" s="117"/>
      <c r="K40" s="103"/>
      <c r="L40" s="103"/>
      <c r="M40" s="99" t="str">
        <f aca="false">IF(OR(K40="",L40=""),"",IF((IF(L40="Alto",3,IF(L40="Médio",2,1))-IF(K40="Alto",3,IF(K40="Médio",2,1)))=2,"⚡ Quick win",IF((IF(L40="Alto",3,IF(L40="Médio",2,1))-IF(K40="Alto",3,IF(K40="Médio",2,1)))=1,"🚀 Alto retorno",IF(AND(L40="Alto",K40="Alto"),"🎯 Estratégica",IF((IF(L40="Alto",3,IF(L40="Médio",2,1))-IF(K40="Alto",3,IF(K40="Médio",2,1)))=0,"⚖ Equilibrada","⏳ Baixo retorno")))))</f>
        <v/>
      </c>
      <c r="N40" s="102"/>
      <c r="O40" s="102"/>
      <c r="P40" s="103"/>
      <c r="Q40" s="102"/>
      <c r="R40" s="104"/>
      <c r="S40" s="102"/>
      <c r="T40" s="104"/>
      <c r="U40" s="102"/>
    </row>
    <row r="41" customFormat="false" ht="15" hidden="false" customHeight="false" outlineLevel="0" collapsed="false">
      <c r="A41" s="93" t="s">
        <v>1579</v>
      </c>
      <c r="B41" s="105"/>
      <c r="C41" s="105"/>
      <c r="D41" s="105"/>
      <c r="E41" s="105"/>
      <c r="F41" s="99" t="str">
        <f aca="false">IF(E41="","",IFERROR(INDEX('Fontes e Parcerias'!$C$5:$C$500,MATCH(IFERROR(LEFT(E41,FIND(" · ",E41)-1),E41),'Fontes e Parcerias'!$A$5:$A$500,0)),"Fonte não encontrada"))</f>
        <v/>
      </c>
      <c r="G41" s="106"/>
      <c r="H41" s="105"/>
      <c r="I41" s="105"/>
      <c r="J41" s="118"/>
      <c r="K41" s="106"/>
      <c r="L41" s="106"/>
      <c r="M41" s="99" t="str">
        <f aca="false">IF(OR(K41="",L41=""),"",IF((IF(L41="Alto",3,IF(L41="Médio",2,1))-IF(K41="Alto",3,IF(K41="Médio",2,1)))=2,"⚡ Quick win",IF((IF(L41="Alto",3,IF(L41="Médio",2,1))-IF(K41="Alto",3,IF(K41="Médio",2,1)))=1,"🚀 Alto retorno",IF(AND(L41="Alto",K41="Alto"),"🎯 Estratégica",IF((IF(L41="Alto",3,IF(L41="Médio",2,1))-IF(K41="Alto",3,IF(K41="Médio",2,1)))=0,"⚖ Equilibrada","⏳ Baixo retorno")))))</f>
        <v/>
      </c>
      <c r="N41" s="105"/>
      <c r="O41" s="105"/>
      <c r="P41" s="106"/>
      <c r="Q41" s="105"/>
      <c r="R41" s="107"/>
      <c r="S41" s="105"/>
      <c r="T41" s="107"/>
      <c r="U41" s="105"/>
    </row>
    <row r="42" customFormat="false" ht="15" hidden="false" customHeight="false" outlineLevel="0" collapsed="false">
      <c r="A42" s="101" t="s">
        <v>1580</v>
      </c>
      <c r="B42" s="102"/>
      <c r="C42" s="102"/>
      <c r="D42" s="102"/>
      <c r="E42" s="102"/>
      <c r="F42" s="99" t="str">
        <f aca="false">IF(E42="","",IFERROR(INDEX('Fontes e Parcerias'!$C$5:$C$500,MATCH(IFERROR(LEFT(E42,FIND(" · ",E42)-1),E42),'Fontes e Parcerias'!$A$5:$A$500,0)),"Fonte não encontrada"))</f>
        <v/>
      </c>
      <c r="G42" s="103"/>
      <c r="H42" s="102"/>
      <c r="I42" s="102"/>
      <c r="J42" s="117"/>
      <c r="K42" s="103"/>
      <c r="L42" s="103"/>
      <c r="M42" s="99" t="str">
        <f aca="false">IF(OR(K42="",L42=""),"",IF((IF(L42="Alto",3,IF(L42="Médio",2,1))-IF(K42="Alto",3,IF(K42="Médio",2,1)))=2,"⚡ Quick win",IF((IF(L42="Alto",3,IF(L42="Médio",2,1))-IF(K42="Alto",3,IF(K42="Médio",2,1)))=1,"🚀 Alto retorno",IF(AND(L42="Alto",K42="Alto"),"🎯 Estratégica",IF((IF(L42="Alto",3,IF(L42="Médio",2,1))-IF(K42="Alto",3,IF(K42="Médio",2,1)))=0,"⚖ Equilibrada","⏳ Baixo retorno")))))</f>
        <v/>
      </c>
      <c r="N42" s="102"/>
      <c r="O42" s="102"/>
      <c r="P42" s="103"/>
      <c r="Q42" s="102"/>
      <c r="R42" s="104"/>
      <c r="S42" s="102"/>
      <c r="T42" s="104"/>
      <c r="U42" s="102"/>
    </row>
    <row r="43" customFormat="false" ht="15" hidden="false" customHeight="false" outlineLevel="0" collapsed="false">
      <c r="A43" s="93" t="s">
        <v>1581</v>
      </c>
      <c r="B43" s="105"/>
      <c r="C43" s="105"/>
      <c r="D43" s="105"/>
      <c r="E43" s="105"/>
      <c r="F43" s="99" t="str">
        <f aca="false">IF(E43="","",IFERROR(INDEX('Fontes e Parcerias'!$C$5:$C$500,MATCH(IFERROR(LEFT(E43,FIND(" · ",E43)-1),E43),'Fontes e Parcerias'!$A$5:$A$500,0)),"Fonte não encontrada"))</f>
        <v/>
      </c>
      <c r="G43" s="106"/>
      <c r="H43" s="105"/>
      <c r="I43" s="105"/>
      <c r="J43" s="118"/>
      <c r="K43" s="106"/>
      <c r="L43" s="106"/>
      <c r="M43" s="99" t="str">
        <f aca="false">IF(OR(K43="",L43=""),"",IF((IF(L43="Alto",3,IF(L43="Médio",2,1))-IF(K43="Alto",3,IF(K43="Médio",2,1)))=2,"⚡ Quick win",IF((IF(L43="Alto",3,IF(L43="Médio",2,1))-IF(K43="Alto",3,IF(K43="Médio",2,1)))=1,"🚀 Alto retorno",IF(AND(L43="Alto",K43="Alto"),"🎯 Estratégica",IF((IF(L43="Alto",3,IF(L43="Médio",2,1))-IF(K43="Alto",3,IF(K43="Médio",2,1)))=0,"⚖ Equilibrada","⏳ Baixo retorno")))))</f>
        <v/>
      </c>
      <c r="N43" s="105"/>
      <c r="O43" s="105"/>
      <c r="P43" s="106"/>
      <c r="Q43" s="105"/>
      <c r="R43" s="107"/>
      <c r="S43" s="105"/>
      <c r="T43" s="107"/>
      <c r="U43" s="105"/>
    </row>
    <row r="44" customFormat="false" ht="15" hidden="false" customHeight="false" outlineLevel="0" collapsed="false">
      <c r="A44" s="101" t="s">
        <v>1582</v>
      </c>
      <c r="B44" s="102"/>
      <c r="C44" s="102"/>
      <c r="D44" s="102"/>
      <c r="E44" s="102"/>
      <c r="F44" s="99" t="str">
        <f aca="false">IF(E44="","",IFERROR(INDEX('Fontes e Parcerias'!$C$5:$C$500,MATCH(IFERROR(LEFT(E44,FIND(" · ",E44)-1),E44),'Fontes e Parcerias'!$A$5:$A$500,0)),"Fonte não encontrada"))</f>
        <v/>
      </c>
      <c r="G44" s="103"/>
      <c r="H44" s="102"/>
      <c r="I44" s="102"/>
      <c r="J44" s="117"/>
      <c r="K44" s="103"/>
      <c r="L44" s="103"/>
      <c r="M44" s="99" t="str">
        <f aca="false">IF(OR(K44="",L44=""),"",IF((IF(L44="Alto",3,IF(L44="Médio",2,1))-IF(K44="Alto",3,IF(K44="Médio",2,1)))=2,"⚡ Quick win",IF((IF(L44="Alto",3,IF(L44="Médio",2,1))-IF(K44="Alto",3,IF(K44="Médio",2,1)))=1,"🚀 Alto retorno",IF(AND(L44="Alto",K44="Alto"),"🎯 Estratégica",IF((IF(L44="Alto",3,IF(L44="Médio",2,1))-IF(K44="Alto",3,IF(K44="Médio",2,1)))=0,"⚖ Equilibrada","⏳ Baixo retorno")))))</f>
        <v/>
      </c>
      <c r="N44" s="102"/>
      <c r="O44" s="102"/>
      <c r="P44" s="103"/>
      <c r="Q44" s="102"/>
      <c r="R44" s="104"/>
      <c r="S44" s="102"/>
      <c r="T44" s="104"/>
      <c r="U44" s="102"/>
    </row>
    <row r="45" customFormat="false" ht="15" hidden="false" customHeight="false" outlineLevel="0" collapsed="false">
      <c r="A45" s="93" t="s">
        <v>1583</v>
      </c>
      <c r="B45" s="105"/>
      <c r="C45" s="105"/>
      <c r="D45" s="105"/>
      <c r="E45" s="105"/>
      <c r="F45" s="99" t="str">
        <f aca="false">IF(E45="","",IFERROR(INDEX('Fontes e Parcerias'!$C$5:$C$500,MATCH(IFERROR(LEFT(E45,FIND(" · ",E45)-1),E45),'Fontes e Parcerias'!$A$5:$A$500,0)),"Fonte não encontrada"))</f>
        <v/>
      </c>
      <c r="G45" s="106"/>
      <c r="H45" s="105"/>
      <c r="I45" s="105"/>
      <c r="J45" s="118"/>
      <c r="K45" s="106"/>
      <c r="L45" s="106"/>
      <c r="M45" s="99" t="str">
        <f aca="false">IF(OR(K45="",L45=""),"",IF((IF(L45="Alto",3,IF(L45="Médio",2,1))-IF(K45="Alto",3,IF(K45="Médio",2,1)))=2,"⚡ Quick win",IF((IF(L45="Alto",3,IF(L45="Médio",2,1))-IF(K45="Alto",3,IF(K45="Médio",2,1)))=1,"🚀 Alto retorno",IF(AND(L45="Alto",K45="Alto"),"🎯 Estratégica",IF((IF(L45="Alto",3,IF(L45="Médio",2,1))-IF(K45="Alto",3,IF(K45="Médio",2,1)))=0,"⚖ Equilibrada","⏳ Baixo retorno")))))</f>
        <v/>
      </c>
      <c r="N45" s="105"/>
      <c r="O45" s="105"/>
      <c r="P45" s="106"/>
      <c r="Q45" s="105"/>
      <c r="R45" s="107"/>
      <c r="S45" s="105"/>
      <c r="T45" s="107"/>
      <c r="U45" s="105"/>
    </row>
    <row r="46" customFormat="false" ht="15" hidden="false" customHeight="false" outlineLevel="0" collapsed="false">
      <c r="A46" s="101" t="s">
        <v>1584</v>
      </c>
      <c r="B46" s="102"/>
      <c r="C46" s="102"/>
      <c r="D46" s="102"/>
      <c r="E46" s="102"/>
      <c r="F46" s="99" t="str">
        <f aca="false">IF(E46="","",IFERROR(INDEX('Fontes e Parcerias'!$C$5:$C$500,MATCH(IFERROR(LEFT(E46,FIND(" · ",E46)-1),E46),'Fontes e Parcerias'!$A$5:$A$500,0)),"Fonte não encontrada"))</f>
        <v/>
      </c>
      <c r="G46" s="103"/>
      <c r="H46" s="102"/>
      <c r="I46" s="102"/>
      <c r="J46" s="117"/>
      <c r="K46" s="103"/>
      <c r="L46" s="103"/>
      <c r="M46" s="99" t="str">
        <f aca="false">IF(OR(K46="",L46=""),"",IF((IF(L46="Alto",3,IF(L46="Médio",2,1))-IF(K46="Alto",3,IF(K46="Médio",2,1)))=2,"⚡ Quick win",IF((IF(L46="Alto",3,IF(L46="Médio",2,1))-IF(K46="Alto",3,IF(K46="Médio",2,1)))=1,"🚀 Alto retorno",IF(AND(L46="Alto",K46="Alto"),"🎯 Estratégica",IF((IF(L46="Alto",3,IF(L46="Médio",2,1))-IF(K46="Alto",3,IF(K46="Médio",2,1)))=0,"⚖ Equilibrada","⏳ Baixo retorno")))))</f>
        <v/>
      </c>
      <c r="N46" s="102"/>
      <c r="O46" s="102"/>
      <c r="P46" s="103"/>
      <c r="Q46" s="102"/>
      <c r="R46" s="104"/>
      <c r="S46" s="102"/>
      <c r="T46" s="104"/>
      <c r="U46" s="102"/>
    </row>
    <row r="47" customFormat="false" ht="15" hidden="false" customHeight="false" outlineLevel="0" collapsed="false">
      <c r="A47" s="93" t="s">
        <v>1585</v>
      </c>
      <c r="B47" s="105"/>
      <c r="C47" s="105"/>
      <c r="D47" s="105"/>
      <c r="E47" s="105"/>
      <c r="F47" s="99" t="str">
        <f aca="false">IF(E47="","",IFERROR(INDEX('Fontes e Parcerias'!$C$5:$C$500,MATCH(IFERROR(LEFT(E47,FIND(" · ",E47)-1),E47),'Fontes e Parcerias'!$A$5:$A$500,0)),"Fonte não encontrada"))</f>
        <v/>
      </c>
      <c r="G47" s="106"/>
      <c r="H47" s="105"/>
      <c r="I47" s="105"/>
      <c r="J47" s="118"/>
      <c r="K47" s="106"/>
      <c r="L47" s="106"/>
      <c r="M47" s="99" t="str">
        <f aca="false">IF(OR(K47="",L47=""),"",IF((IF(L47="Alto",3,IF(L47="Médio",2,1))-IF(K47="Alto",3,IF(K47="Médio",2,1)))=2,"⚡ Quick win",IF((IF(L47="Alto",3,IF(L47="Médio",2,1))-IF(K47="Alto",3,IF(K47="Médio",2,1)))=1,"🚀 Alto retorno",IF(AND(L47="Alto",K47="Alto"),"🎯 Estratégica",IF((IF(L47="Alto",3,IF(L47="Médio",2,1))-IF(K47="Alto",3,IF(K47="Médio",2,1)))=0,"⚖ Equilibrada","⏳ Baixo retorno")))))</f>
        <v/>
      </c>
      <c r="N47" s="105"/>
      <c r="O47" s="105"/>
      <c r="P47" s="106"/>
      <c r="Q47" s="105"/>
      <c r="R47" s="107"/>
      <c r="S47" s="105"/>
      <c r="T47" s="107"/>
      <c r="U47" s="105"/>
    </row>
    <row r="48" customFormat="false" ht="15" hidden="false" customHeight="false" outlineLevel="0" collapsed="false">
      <c r="A48" s="101" t="s">
        <v>1586</v>
      </c>
      <c r="B48" s="102"/>
      <c r="C48" s="102"/>
      <c r="D48" s="102"/>
      <c r="E48" s="102"/>
      <c r="F48" s="99" t="str">
        <f aca="false">IF(E48="","",IFERROR(INDEX('Fontes e Parcerias'!$C$5:$C$500,MATCH(IFERROR(LEFT(E48,FIND(" · ",E48)-1),E48),'Fontes e Parcerias'!$A$5:$A$500,0)),"Fonte não encontrada"))</f>
        <v/>
      </c>
      <c r="G48" s="103"/>
      <c r="H48" s="102"/>
      <c r="I48" s="102"/>
      <c r="J48" s="117"/>
      <c r="K48" s="103"/>
      <c r="L48" s="103"/>
      <c r="M48" s="99" t="str">
        <f aca="false">IF(OR(K48="",L48=""),"",IF((IF(L48="Alto",3,IF(L48="Médio",2,1))-IF(K48="Alto",3,IF(K48="Médio",2,1)))=2,"⚡ Quick win",IF((IF(L48="Alto",3,IF(L48="Médio",2,1))-IF(K48="Alto",3,IF(K48="Médio",2,1)))=1,"🚀 Alto retorno",IF(AND(L48="Alto",K48="Alto"),"🎯 Estratégica",IF((IF(L48="Alto",3,IF(L48="Médio",2,1))-IF(K48="Alto",3,IF(K48="Médio",2,1)))=0,"⚖ Equilibrada","⏳ Baixo retorno")))))</f>
        <v/>
      </c>
      <c r="N48" s="102"/>
      <c r="O48" s="102"/>
      <c r="P48" s="103"/>
      <c r="Q48" s="102"/>
      <c r="R48" s="104"/>
      <c r="S48" s="102"/>
      <c r="T48" s="104"/>
      <c r="U48" s="102"/>
    </row>
    <row r="49" customFormat="false" ht="15" hidden="false" customHeight="false" outlineLevel="0" collapsed="false">
      <c r="A49" s="93" t="s">
        <v>1587</v>
      </c>
      <c r="B49" s="105"/>
      <c r="C49" s="105"/>
      <c r="D49" s="105"/>
      <c r="E49" s="105"/>
      <c r="F49" s="99" t="str">
        <f aca="false">IF(E49="","",IFERROR(INDEX('Fontes e Parcerias'!$C$5:$C$500,MATCH(IFERROR(LEFT(E49,FIND(" · ",E49)-1),E49),'Fontes e Parcerias'!$A$5:$A$500,0)),"Fonte não encontrada"))</f>
        <v/>
      </c>
      <c r="G49" s="106"/>
      <c r="H49" s="105"/>
      <c r="I49" s="105"/>
      <c r="J49" s="118"/>
      <c r="K49" s="106"/>
      <c r="L49" s="106"/>
      <c r="M49" s="99" t="str">
        <f aca="false">IF(OR(K49="",L49=""),"",IF((IF(L49="Alto",3,IF(L49="Médio",2,1))-IF(K49="Alto",3,IF(K49="Médio",2,1)))=2,"⚡ Quick win",IF((IF(L49="Alto",3,IF(L49="Médio",2,1))-IF(K49="Alto",3,IF(K49="Médio",2,1)))=1,"🚀 Alto retorno",IF(AND(L49="Alto",K49="Alto"),"🎯 Estratégica",IF((IF(L49="Alto",3,IF(L49="Médio",2,1))-IF(K49="Alto",3,IF(K49="Médio",2,1)))=0,"⚖ Equilibrada","⏳ Baixo retorno")))))</f>
        <v/>
      </c>
      <c r="N49" s="105"/>
      <c r="O49" s="105"/>
      <c r="P49" s="106"/>
      <c r="Q49" s="105"/>
      <c r="R49" s="107"/>
      <c r="S49" s="105"/>
      <c r="T49" s="107"/>
      <c r="U49" s="105"/>
    </row>
    <row r="50" customFormat="false" ht="15" hidden="false" customHeight="false" outlineLevel="0" collapsed="false">
      <c r="A50" s="101" t="s">
        <v>1588</v>
      </c>
      <c r="B50" s="102"/>
      <c r="C50" s="102"/>
      <c r="D50" s="102"/>
      <c r="E50" s="102"/>
      <c r="F50" s="99" t="str">
        <f aca="false">IF(E50="","",IFERROR(INDEX('Fontes e Parcerias'!$C$5:$C$500,MATCH(IFERROR(LEFT(E50,FIND(" · ",E50)-1),E50),'Fontes e Parcerias'!$A$5:$A$500,0)),"Fonte não encontrada"))</f>
        <v/>
      </c>
      <c r="G50" s="103"/>
      <c r="H50" s="102"/>
      <c r="I50" s="102"/>
      <c r="J50" s="117"/>
      <c r="K50" s="103"/>
      <c r="L50" s="103"/>
      <c r="M50" s="99" t="str">
        <f aca="false">IF(OR(K50="",L50=""),"",IF((IF(L50="Alto",3,IF(L50="Médio",2,1))-IF(K50="Alto",3,IF(K50="Médio",2,1)))=2,"⚡ Quick win",IF((IF(L50="Alto",3,IF(L50="Médio",2,1))-IF(K50="Alto",3,IF(K50="Médio",2,1)))=1,"🚀 Alto retorno",IF(AND(L50="Alto",K50="Alto"),"🎯 Estratégica",IF((IF(L50="Alto",3,IF(L50="Médio",2,1))-IF(K50="Alto",3,IF(K50="Médio",2,1)))=0,"⚖ Equilibrada","⏳ Baixo retorno")))))</f>
        <v/>
      </c>
      <c r="N50" s="102"/>
      <c r="O50" s="102"/>
      <c r="P50" s="103"/>
      <c r="Q50" s="102"/>
      <c r="R50" s="104"/>
      <c r="S50" s="102"/>
      <c r="T50" s="104"/>
      <c r="U50" s="102"/>
    </row>
    <row r="51" customFormat="false" ht="15" hidden="false" customHeight="false" outlineLevel="0" collapsed="false">
      <c r="A51" s="93" t="s">
        <v>1589</v>
      </c>
      <c r="B51" s="105"/>
      <c r="C51" s="105"/>
      <c r="D51" s="105"/>
      <c r="E51" s="105"/>
      <c r="F51" s="99" t="str">
        <f aca="false">IF(E51="","",IFERROR(INDEX('Fontes e Parcerias'!$C$5:$C$500,MATCH(IFERROR(LEFT(E51,FIND(" · ",E51)-1),E51),'Fontes e Parcerias'!$A$5:$A$500,0)),"Fonte não encontrada"))</f>
        <v/>
      </c>
      <c r="G51" s="106"/>
      <c r="H51" s="105"/>
      <c r="I51" s="105"/>
      <c r="J51" s="118"/>
      <c r="K51" s="106"/>
      <c r="L51" s="106"/>
      <c r="M51" s="99" t="str">
        <f aca="false">IF(OR(K51="",L51=""),"",IF((IF(L51="Alto",3,IF(L51="Médio",2,1))-IF(K51="Alto",3,IF(K51="Médio",2,1)))=2,"⚡ Quick win",IF((IF(L51="Alto",3,IF(L51="Médio",2,1))-IF(K51="Alto",3,IF(K51="Médio",2,1)))=1,"🚀 Alto retorno",IF(AND(L51="Alto",K51="Alto"),"🎯 Estratégica",IF((IF(L51="Alto",3,IF(L51="Médio",2,1))-IF(K51="Alto",3,IF(K51="Médio",2,1)))=0,"⚖ Equilibrada","⏳ Baixo retorno")))))</f>
        <v/>
      </c>
      <c r="N51" s="105"/>
      <c r="O51" s="105"/>
      <c r="P51" s="106"/>
      <c r="Q51" s="105"/>
      <c r="R51" s="107"/>
      <c r="S51" s="105"/>
      <c r="T51" s="107"/>
      <c r="U51" s="105"/>
    </row>
    <row r="52" customFormat="false" ht="15" hidden="false" customHeight="false" outlineLevel="0" collapsed="false">
      <c r="A52" s="101" t="s">
        <v>1590</v>
      </c>
      <c r="B52" s="102"/>
      <c r="C52" s="102"/>
      <c r="D52" s="102"/>
      <c r="E52" s="102"/>
      <c r="F52" s="99" t="str">
        <f aca="false">IF(E52="","",IFERROR(INDEX('Fontes e Parcerias'!$C$5:$C$500,MATCH(IFERROR(LEFT(E52,FIND(" · ",E52)-1),E52),'Fontes e Parcerias'!$A$5:$A$500,0)),"Fonte não encontrada"))</f>
        <v/>
      </c>
      <c r="G52" s="103"/>
      <c r="H52" s="102"/>
      <c r="I52" s="102"/>
      <c r="J52" s="117"/>
      <c r="K52" s="103"/>
      <c r="L52" s="103"/>
      <c r="M52" s="99" t="str">
        <f aca="false">IF(OR(K52="",L52=""),"",IF((IF(L52="Alto",3,IF(L52="Médio",2,1))-IF(K52="Alto",3,IF(K52="Médio",2,1)))=2,"⚡ Quick win",IF((IF(L52="Alto",3,IF(L52="Médio",2,1))-IF(K52="Alto",3,IF(K52="Médio",2,1)))=1,"🚀 Alto retorno",IF(AND(L52="Alto",K52="Alto"),"🎯 Estratégica",IF((IF(L52="Alto",3,IF(L52="Médio",2,1))-IF(K52="Alto",3,IF(K52="Médio",2,1)))=0,"⚖ Equilibrada","⏳ Baixo retorno")))))</f>
        <v/>
      </c>
      <c r="N52" s="102"/>
      <c r="O52" s="102"/>
      <c r="P52" s="103"/>
      <c r="Q52" s="102"/>
      <c r="R52" s="104"/>
      <c r="S52" s="102"/>
      <c r="T52" s="104"/>
      <c r="U52" s="102"/>
    </row>
    <row r="53" customFormat="false" ht="15" hidden="false" customHeight="false" outlineLevel="0" collapsed="false">
      <c r="A53" s="93" t="s">
        <v>1591</v>
      </c>
      <c r="B53" s="105"/>
      <c r="C53" s="105"/>
      <c r="D53" s="105"/>
      <c r="E53" s="105"/>
      <c r="F53" s="99" t="str">
        <f aca="false">IF(E53="","",IFERROR(INDEX('Fontes e Parcerias'!$C$5:$C$500,MATCH(IFERROR(LEFT(E53,FIND(" · ",E53)-1),E53),'Fontes e Parcerias'!$A$5:$A$500,0)),"Fonte não encontrada"))</f>
        <v/>
      </c>
      <c r="G53" s="106"/>
      <c r="H53" s="105"/>
      <c r="I53" s="105"/>
      <c r="J53" s="118"/>
      <c r="K53" s="106"/>
      <c r="L53" s="106"/>
      <c r="M53" s="99" t="str">
        <f aca="false">IF(OR(K53="",L53=""),"",IF((IF(L53="Alto",3,IF(L53="Médio",2,1))-IF(K53="Alto",3,IF(K53="Médio",2,1)))=2,"⚡ Quick win",IF((IF(L53="Alto",3,IF(L53="Médio",2,1))-IF(K53="Alto",3,IF(K53="Médio",2,1)))=1,"🚀 Alto retorno",IF(AND(L53="Alto",K53="Alto"),"🎯 Estratégica",IF((IF(L53="Alto",3,IF(L53="Médio",2,1))-IF(K53="Alto",3,IF(K53="Médio",2,1)))=0,"⚖ Equilibrada","⏳ Baixo retorno")))))</f>
        <v/>
      </c>
      <c r="N53" s="105"/>
      <c r="O53" s="105"/>
      <c r="P53" s="106"/>
      <c r="Q53" s="105"/>
      <c r="R53" s="107"/>
      <c r="S53" s="105"/>
      <c r="T53" s="107"/>
      <c r="U53" s="105"/>
    </row>
    <row r="54" customFormat="false" ht="15" hidden="false" customHeight="false" outlineLevel="0" collapsed="false">
      <c r="A54" s="101" t="s">
        <v>1592</v>
      </c>
      <c r="B54" s="102"/>
      <c r="C54" s="102"/>
      <c r="D54" s="102"/>
      <c r="E54" s="102"/>
      <c r="F54" s="99" t="str">
        <f aca="false">IF(E54="","",IFERROR(INDEX('Fontes e Parcerias'!$C$5:$C$500,MATCH(IFERROR(LEFT(E54,FIND(" · ",E54)-1),E54),'Fontes e Parcerias'!$A$5:$A$500,0)),"Fonte não encontrada"))</f>
        <v/>
      </c>
      <c r="G54" s="103"/>
      <c r="H54" s="102"/>
      <c r="I54" s="102"/>
      <c r="J54" s="117"/>
      <c r="K54" s="103"/>
      <c r="L54" s="103"/>
      <c r="M54" s="99" t="str">
        <f aca="false">IF(OR(K54="",L54=""),"",IF((IF(L54="Alto",3,IF(L54="Médio",2,1))-IF(K54="Alto",3,IF(K54="Médio",2,1)))=2,"⚡ Quick win",IF((IF(L54="Alto",3,IF(L54="Médio",2,1))-IF(K54="Alto",3,IF(K54="Médio",2,1)))=1,"🚀 Alto retorno",IF(AND(L54="Alto",K54="Alto"),"🎯 Estratégica",IF((IF(L54="Alto",3,IF(L54="Médio",2,1))-IF(K54="Alto",3,IF(K54="Médio",2,1)))=0,"⚖ Equilibrada","⏳ Baixo retorno")))))</f>
        <v/>
      </c>
      <c r="N54" s="102"/>
      <c r="O54" s="102"/>
      <c r="P54" s="103"/>
      <c r="Q54" s="102"/>
      <c r="R54" s="104"/>
      <c r="S54" s="102"/>
      <c r="T54" s="104"/>
      <c r="U54" s="102"/>
    </row>
    <row r="55" customFormat="false" ht="15" hidden="false" customHeight="false" outlineLevel="0" collapsed="false">
      <c r="A55" s="93" t="s">
        <v>1593</v>
      </c>
      <c r="B55" s="105"/>
      <c r="C55" s="105"/>
      <c r="D55" s="105"/>
      <c r="E55" s="105"/>
      <c r="F55" s="99" t="str">
        <f aca="false">IF(E55="","",IFERROR(INDEX('Fontes e Parcerias'!$C$5:$C$500,MATCH(IFERROR(LEFT(E55,FIND(" · ",E55)-1),E55),'Fontes e Parcerias'!$A$5:$A$500,0)),"Fonte não encontrada"))</f>
        <v/>
      </c>
      <c r="G55" s="106"/>
      <c r="H55" s="105"/>
      <c r="I55" s="105"/>
      <c r="J55" s="118"/>
      <c r="K55" s="106"/>
      <c r="L55" s="106"/>
      <c r="M55" s="99" t="str">
        <f aca="false">IF(OR(K55="",L55=""),"",IF((IF(L55="Alto",3,IF(L55="Médio",2,1))-IF(K55="Alto",3,IF(K55="Médio",2,1)))=2,"⚡ Quick win",IF((IF(L55="Alto",3,IF(L55="Médio",2,1))-IF(K55="Alto",3,IF(K55="Médio",2,1)))=1,"🚀 Alto retorno",IF(AND(L55="Alto",K55="Alto"),"🎯 Estratégica",IF((IF(L55="Alto",3,IF(L55="Médio",2,1))-IF(K55="Alto",3,IF(K55="Médio",2,1)))=0,"⚖ Equilibrada","⏳ Baixo retorno")))))</f>
        <v/>
      </c>
      <c r="N55" s="105"/>
      <c r="O55" s="105"/>
      <c r="P55" s="106"/>
      <c r="Q55" s="105"/>
      <c r="R55" s="107"/>
      <c r="S55" s="105"/>
      <c r="T55" s="107"/>
      <c r="U55" s="105"/>
    </row>
    <row r="56" customFormat="false" ht="15" hidden="false" customHeight="false" outlineLevel="0" collapsed="false">
      <c r="A56" s="101" t="s">
        <v>1594</v>
      </c>
      <c r="B56" s="102"/>
      <c r="C56" s="102"/>
      <c r="D56" s="102"/>
      <c r="E56" s="102"/>
      <c r="F56" s="99" t="str">
        <f aca="false">IF(E56="","",IFERROR(INDEX('Fontes e Parcerias'!$C$5:$C$500,MATCH(IFERROR(LEFT(E56,FIND(" · ",E56)-1),E56),'Fontes e Parcerias'!$A$5:$A$500,0)),"Fonte não encontrada"))</f>
        <v/>
      </c>
      <c r="G56" s="103"/>
      <c r="H56" s="102"/>
      <c r="I56" s="102"/>
      <c r="J56" s="117"/>
      <c r="K56" s="103"/>
      <c r="L56" s="103"/>
      <c r="M56" s="99" t="str">
        <f aca="false">IF(OR(K56="",L56=""),"",IF((IF(L56="Alto",3,IF(L56="Médio",2,1))-IF(K56="Alto",3,IF(K56="Médio",2,1)))=2,"⚡ Quick win",IF((IF(L56="Alto",3,IF(L56="Médio",2,1))-IF(K56="Alto",3,IF(K56="Médio",2,1)))=1,"🚀 Alto retorno",IF(AND(L56="Alto",K56="Alto"),"🎯 Estratégica",IF((IF(L56="Alto",3,IF(L56="Médio",2,1))-IF(K56="Alto",3,IF(K56="Médio",2,1)))=0,"⚖ Equilibrada","⏳ Baixo retorno")))))</f>
        <v/>
      </c>
      <c r="N56" s="102"/>
      <c r="O56" s="102"/>
      <c r="P56" s="103"/>
      <c r="Q56" s="102"/>
      <c r="R56" s="104"/>
      <c r="S56" s="102"/>
      <c r="T56" s="104"/>
      <c r="U56" s="102"/>
    </row>
    <row r="57" customFormat="false" ht="15" hidden="false" customHeight="false" outlineLevel="0" collapsed="false">
      <c r="A57" s="93" t="s">
        <v>1595</v>
      </c>
      <c r="B57" s="105"/>
      <c r="C57" s="105"/>
      <c r="D57" s="105"/>
      <c r="E57" s="105"/>
      <c r="F57" s="99" t="str">
        <f aca="false">IF(E57="","",IFERROR(INDEX('Fontes e Parcerias'!$C$5:$C$500,MATCH(IFERROR(LEFT(E57,FIND(" · ",E57)-1),E57),'Fontes e Parcerias'!$A$5:$A$500,0)),"Fonte não encontrada"))</f>
        <v/>
      </c>
      <c r="G57" s="106"/>
      <c r="H57" s="105"/>
      <c r="I57" s="105"/>
      <c r="J57" s="118"/>
      <c r="K57" s="106"/>
      <c r="L57" s="106"/>
      <c r="M57" s="99" t="str">
        <f aca="false">IF(OR(K57="",L57=""),"",IF((IF(L57="Alto",3,IF(L57="Médio",2,1))-IF(K57="Alto",3,IF(K57="Médio",2,1)))=2,"⚡ Quick win",IF((IF(L57="Alto",3,IF(L57="Médio",2,1))-IF(K57="Alto",3,IF(K57="Médio",2,1)))=1,"🚀 Alto retorno",IF(AND(L57="Alto",K57="Alto"),"🎯 Estratégica",IF((IF(L57="Alto",3,IF(L57="Médio",2,1))-IF(K57="Alto",3,IF(K57="Médio",2,1)))=0,"⚖ Equilibrada","⏳ Baixo retorno")))))</f>
        <v/>
      </c>
      <c r="N57" s="105"/>
      <c r="O57" s="105"/>
      <c r="P57" s="106"/>
      <c r="Q57" s="105"/>
      <c r="R57" s="107"/>
      <c r="S57" s="105"/>
      <c r="T57" s="107"/>
      <c r="U57" s="105"/>
    </row>
    <row r="58" customFormat="false" ht="15" hidden="false" customHeight="false" outlineLevel="0" collapsed="false">
      <c r="A58" s="101" t="s">
        <v>1596</v>
      </c>
      <c r="B58" s="102"/>
      <c r="C58" s="102"/>
      <c r="D58" s="102"/>
      <c r="E58" s="102"/>
      <c r="F58" s="99" t="str">
        <f aca="false">IF(E58="","",IFERROR(INDEX('Fontes e Parcerias'!$C$5:$C$500,MATCH(IFERROR(LEFT(E58,FIND(" · ",E58)-1),E58),'Fontes e Parcerias'!$A$5:$A$500,0)),"Fonte não encontrada"))</f>
        <v/>
      </c>
      <c r="G58" s="103"/>
      <c r="H58" s="102"/>
      <c r="I58" s="102"/>
      <c r="J58" s="117"/>
      <c r="K58" s="103"/>
      <c r="L58" s="103"/>
      <c r="M58" s="99" t="str">
        <f aca="false">IF(OR(K58="",L58=""),"",IF((IF(L58="Alto",3,IF(L58="Médio",2,1))-IF(K58="Alto",3,IF(K58="Médio",2,1)))=2,"⚡ Quick win",IF((IF(L58="Alto",3,IF(L58="Médio",2,1))-IF(K58="Alto",3,IF(K58="Médio",2,1)))=1,"🚀 Alto retorno",IF(AND(L58="Alto",K58="Alto"),"🎯 Estratégica",IF((IF(L58="Alto",3,IF(L58="Médio",2,1))-IF(K58="Alto",3,IF(K58="Médio",2,1)))=0,"⚖ Equilibrada","⏳ Baixo retorno")))))</f>
        <v/>
      </c>
      <c r="N58" s="102"/>
      <c r="O58" s="102"/>
      <c r="P58" s="103"/>
      <c r="Q58" s="102"/>
      <c r="R58" s="104"/>
      <c r="S58" s="102"/>
      <c r="T58" s="104"/>
      <c r="U58" s="102"/>
    </row>
    <row r="59" customFormat="false" ht="15" hidden="false" customHeight="false" outlineLevel="0" collapsed="false">
      <c r="A59" s="93" t="s">
        <v>1597</v>
      </c>
      <c r="B59" s="105"/>
      <c r="C59" s="105"/>
      <c r="D59" s="105"/>
      <c r="E59" s="105"/>
      <c r="F59" s="99" t="str">
        <f aca="false">IF(E59="","",IFERROR(INDEX('Fontes e Parcerias'!$C$5:$C$500,MATCH(IFERROR(LEFT(E59,FIND(" · ",E59)-1),E59),'Fontes e Parcerias'!$A$5:$A$500,0)),"Fonte não encontrada"))</f>
        <v/>
      </c>
      <c r="G59" s="106"/>
      <c r="H59" s="105"/>
      <c r="I59" s="105"/>
      <c r="J59" s="118"/>
      <c r="K59" s="106"/>
      <c r="L59" s="106"/>
      <c r="M59" s="99" t="str">
        <f aca="false">IF(OR(K59="",L59=""),"",IF((IF(L59="Alto",3,IF(L59="Médio",2,1))-IF(K59="Alto",3,IF(K59="Médio",2,1)))=2,"⚡ Quick win",IF((IF(L59="Alto",3,IF(L59="Médio",2,1))-IF(K59="Alto",3,IF(K59="Médio",2,1)))=1,"🚀 Alto retorno",IF(AND(L59="Alto",K59="Alto"),"🎯 Estratégica",IF((IF(L59="Alto",3,IF(L59="Médio",2,1))-IF(K59="Alto",3,IF(K59="Médio",2,1)))=0,"⚖ Equilibrada","⏳ Baixo retorno")))))</f>
        <v/>
      </c>
      <c r="N59" s="105"/>
      <c r="O59" s="105"/>
      <c r="P59" s="106"/>
      <c r="Q59" s="105"/>
      <c r="R59" s="107"/>
      <c r="S59" s="105"/>
      <c r="T59" s="107"/>
      <c r="U59" s="105"/>
    </row>
    <row r="60" customFormat="false" ht="15" hidden="false" customHeight="false" outlineLevel="0" collapsed="false">
      <c r="A60" s="101" t="s">
        <v>1598</v>
      </c>
      <c r="B60" s="102"/>
      <c r="C60" s="102"/>
      <c r="D60" s="102"/>
      <c r="E60" s="102"/>
      <c r="F60" s="99" t="str">
        <f aca="false">IF(E60="","",IFERROR(INDEX('Fontes e Parcerias'!$C$5:$C$500,MATCH(IFERROR(LEFT(E60,FIND(" · ",E60)-1),E60),'Fontes e Parcerias'!$A$5:$A$500,0)),"Fonte não encontrada"))</f>
        <v/>
      </c>
      <c r="G60" s="103"/>
      <c r="H60" s="102"/>
      <c r="I60" s="102"/>
      <c r="J60" s="117"/>
      <c r="K60" s="103"/>
      <c r="L60" s="103"/>
      <c r="M60" s="99" t="str">
        <f aca="false">IF(OR(K60="",L60=""),"",IF((IF(L60="Alto",3,IF(L60="Médio",2,1))-IF(K60="Alto",3,IF(K60="Médio",2,1)))=2,"⚡ Quick win",IF((IF(L60="Alto",3,IF(L60="Médio",2,1))-IF(K60="Alto",3,IF(K60="Médio",2,1)))=1,"🚀 Alto retorno",IF(AND(L60="Alto",K60="Alto"),"🎯 Estratégica",IF((IF(L60="Alto",3,IF(L60="Médio",2,1))-IF(K60="Alto",3,IF(K60="Médio",2,1)))=0,"⚖ Equilibrada","⏳ Baixo retorno")))))</f>
        <v/>
      </c>
      <c r="N60" s="102"/>
      <c r="O60" s="102"/>
      <c r="P60" s="103"/>
      <c r="Q60" s="102"/>
      <c r="R60" s="104"/>
      <c r="S60" s="102"/>
      <c r="T60" s="104"/>
      <c r="U60" s="102"/>
    </row>
    <row r="61" customFormat="false" ht="15" hidden="false" customHeight="false" outlineLevel="0" collapsed="false">
      <c r="A61" s="93" t="s">
        <v>1599</v>
      </c>
      <c r="B61" s="105"/>
      <c r="C61" s="105"/>
      <c r="D61" s="105"/>
      <c r="E61" s="105"/>
      <c r="F61" s="99" t="str">
        <f aca="false">IF(E61="","",IFERROR(INDEX('Fontes e Parcerias'!$C$5:$C$500,MATCH(IFERROR(LEFT(E61,FIND(" · ",E61)-1),E61),'Fontes e Parcerias'!$A$5:$A$500,0)),"Fonte não encontrada"))</f>
        <v/>
      </c>
      <c r="G61" s="106"/>
      <c r="H61" s="105"/>
      <c r="I61" s="105"/>
      <c r="J61" s="118"/>
      <c r="K61" s="106"/>
      <c r="L61" s="106"/>
      <c r="M61" s="99" t="str">
        <f aca="false">IF(OR(K61="",L61=""),"",IF((IF(L61="Alto",3,IF(L61="Médio",2,1))-IF(K61="Alto",3,IF(K61="Médio",2,1)))=2,"⚡ Quick win",IF((IF(L61="Alto",3,IF(L61="Médio",2,1))-IF(K61="Alto",3,IF(K61="Médio",2,1)))=1,"🚀 Alto retorno",IF(AND(L61="Alto",K61="Alto"),"🎯 Estratégica",IF((IF(L61="Alto",3,IF(L61="Médio",2,1))-IF(K61="Alto",3,IF(K61="Médio",2,1)))=0,"⚖ Equilibrada","⏳ Baixo retorno")))))</f>
        <v/>
      </c>
      <c r="N61" s="105"/>
      <c r="O61" s="105"/>
      <c r="P61" s="106"/>
      <c r="Q61" s="105"/>
      <c r="R61" s="107"/>
      <c r="S61" s="105"/>
      <c r="T61" s="107"/>
      <c r="U61" s="105"/>
    </row>
    <row r="62" customFormat="false" ht="15" hidden="false" customHeight="false" outlineLevel="0" collapsed="false">
      <c r="A62" s="101" t="s">
        <v>1600</v>
      </c>
      <c r="B62" s="102"/>
      <c r="C62" s="102"/>
      <c r="D62" s="102"/>
      <c r="E62" s="102"/>
      <c r="F62" s="99" t="str">
        <f aca="false">IF(E62="","",IFERROR(INDEX('Fontes e Parcerias'!$C$5:$C$500,MATCH(IFERROR(LEFT(E62,FIND(" · ",E62)-1),E62),'Fontes e Parcerias'!$A$5:$A$500,0)),"Fonte não encontrada"))</f>
        <v/>
      </c>
      <c r="G62" s="103"/>
      <c r="H62" s="102"/>
      <c r="I62" s="102"/>
      <c r="J62" s="117"/>
      <c r="K62" s="103"/>
      <c r="L62" s="103"/>
      <c r="M62" s="99" t="str">
        <f aca="false">IF(OR(K62="",L62=""),"",IF((IF(L62="Alto",3,IF(L62="Médio",2,1))-IF(K62="Alto",3,IF(K62="Médio",2,1)))=2,"⚡ Quick win",IF((IF(L62="Alto",3,IF(L62="Médio",2,1))-IF(K62="Alto",3,IF(K62="Médio",2,1)))=1,"🚀 Alto retorno",IF(AND(L62="Alto",K62="Alto"),"🎯 Estratégica",IF((IF(L62="Alto",3,IF(L62="Médio",2,1))-IF(K62="Alto",3,IF(K62="Médio",2,1)))=0,"⚖ Equilibrada","⏳ Baixo retorno")))))</f>
        <v/>
      </c>
      <c r="N62" s="102"/>
      <c r="O62" s="102"/>
      <c r="P62" s="103"/>
      <c r="Q62" s="102"/>
      <c r="R62" s="104"/>
      <c r="S62" s="102"/>
      <c r="T62" s="104"/>
      <c r="U62" s="102"/>
    </row>
    <row r="63" customFormat="false" ht="15" hidden="false" customHeight="false" outlineLevel="0" collapsed="false">
      <c r="A63" s="93" t="s">
        <v>1601</v>
      </c>
      <c r="B63" s="105"/>
      <c r="C63" s="105"/>
      <c r="D63" s="105"/>
      <c r="E63" s="105"/>
      <c r="F63" s="99" t="str">
        <f aca="false">IF(E63="","",IFERROR(INDEX('Fontes e Parcerias'!$C$5:$C$500,MATCH(IFERROR(LEFT(E63,FIND(" · ",E63)-1),E63),'Fontes e Parcerias'!$A$5:$A$500,0)),"Fonte não encontrada"))</f>
        <v/>
      </c>
      <c r="G63" s="106"/>
      <c r="H63" s="105"/>
      <c r="I63" s="105"/>
      <c r="J63" s="118"/>
      <c r="K63" s="106"/>
      <c r="L63" s="106"/>
      <c r="M63" s="99" t="str">
        <f aca="false">IF(OR(K63="",L63=""),"",IF((IF(L63="Alto",3,IF(L63="Médio",2,1))-IF(K63="Alto",3,IF(K63="Médio",2,1)))=2,"⚡ Quick win",IF((IF(L63="Alto",3,IF(L63="Médio",2,1))-IF(K63="Alto",3,IF(K63="Médio",2,1)))=1,"🚀 Alto retorno",IF(AND(L63="Alto",K63="Alto"),"🎯 Estratégica",IF((IF(L63="Alto",3,IF(L63="Médio",2,1))-IF(K63="Alto",3,IF(K63="Médio",2,1)))=0,"⚖ Equilibrada","⏳ Baixo retorno")))))</f>
        <v/>
      </c>
      <c r="N63" s="105"/>
      <c r="O63" s="105"/>
      <c r="P63" s="106"/>
      <c r="Q63" s="105"/>
      <c r="R63" s="107"/>
      <c r="S63" s="105"/>
      <c r="T63" s="107"/>
      <c r="U63" s="105"/>
    </row>
    <row r="64" customFormat="false" ht="15" hidden="false" customHeight="false" outlineLevel="0" collapsed="false">
      <c r="A64" s="101" t="s">
        <v>1602</v>
      </c>
      <c r="B64" s="102"/>
      <c r="C64" s="102"/>
      <c r="D64" s="102"/>
      <c r="E64" s="102"/>
      <c r="F64" s="99" t="str">
        <f aca="false">IF(E64="","",IFERROR(INDEX('Fontes e Parcerias'!$C$5:$C$500,MATCH(IFERROR(LEFT(E64,FIND(" · ",E64)-1),E64),'Fontes e Parcerias'!$A$5:$A$500,0)),"Fonte não encontrada"))</f>
        <v/>
      </c>
      <c r="G64" s="103"/>
      <c r="H64" s="102"/>
      <c r="I64" s="102"/>
      <c r="J64" s="117"/>
      <c r="K64" s="103"/>
      <c r="L64" s="103"/>
      <c r="M64" s="99" t="str">
        <f aca="false">IF(OR(K64="",L64=""),"",IF((IF(L64="Alto",3,IF(L64="Médio",2,1))-IF(K64="Alto",3,IF(K64="Médio",2,1)))=2,"⚡ Quick win",IF((IF(L64="Alto",3,IF(L64="Médio",2,1))-IF(K64="Alto",3,IF(K64="Médio",2,1)))=1,"🚀 Alto retorno",IF(AND(L64="Alto",K64="Alto"),"🎯 Estratégica",IF((IF(L64="Alto",3,IF(L64="Médio",2,1))-IF(K64="Alto",3,IF(K64="Médio",2,1)))=0,"⚖ Equilibrada","⏳ Baixo retorno")))))</f>
        <v/>
      </c>
      <c r="N64" s="102"/>
      <c r="O64" s="102"/>
      <c r="P64" s="103"/>
      <c r="Q64" s="102"/>
      <c r="R64" s="104"/>
      <c r="S64" s="102"/>
      <c r="T64" s="104"/>
      <c r="U64" s="102"/>
    </row>
    <row r="65" customFormat="false" ht="15" hidden="false" customHeight="false" outlineLevel="0" collapsed="false">
      <c r="A65" s="93" t="s">
        <v>1603</v>
      </c>
      <c r="B65" s="105"/>
      <c r="C65" s="105"/>
      <c r="D65" s="105"/>
      <c r="E65" s="105"/>
      <c r="F65" s="99" t="str">
        <f aca="false">IF(E65="","",IFERROR(INDEX('Fontes e Parcerias'!$C$5:$C$500,MATCH(IFERROR(LEFT(E65,FIND(" · ",E65)-1),E65),'Fontes e Parcerias'!$A$5:$A$500,0)),"Fonte não encontrada"))</f>
        <v/>
      </c>
      <c r="G65" s="106"/>
      <c r="H65" s="105"/>
      <c r="I65" s="105"/>
      <c r="J65" s="118"/>
      <c r="K65" s="106"/>
      <c r="L65" s="106"/>
      <c r="M65" s="99" t="str">
        <f aca="false">IF(OR(K65="",L65=""),"",IF((IF(L65="Alto",3,IF(L65="Médio",2,1))-IF(K65="Alto",3,IF(K65="Médio",2,1)))=2,"⚡ Quick win",IF((IF(L65="Alto",3,IF(L65="Médio",2,1))-IF(K65="Alto",3,IF(K65="Médio",2,1)))=1,"🚀 Alto retorno",IF(AND(L65="Alto",K65="Alto"),"🎯 Estratégica",IF((IF(L65="Alto",3,IF(L65="Médio",2,1))-IF(K65="Alto",3,IF(K65="Médio",2,1)))=0,"⚖ Equilibrada","⏳ Baixo retorno")))))</f>
        <v/>
      </c>
      <c r="N65" s="105"/>
      <c r="O65" s="105"/>
      <c r="P65" s="106"/>
      <c r="Q65" s="105"/>
      <c r="R65" s="107"/>
      <c r="S65" s="105"/>
      <c r="T65" s="107"/>
      <c r="U65" s="105"/>
    </row>
    <row r="66" customFormat="false" ht="15" hidden="false" customHeight="false" outlineLevel="0" collapsed="false">
      <c r="A66" s="101" t="s">
        <v>1604</v>
      </c>
      <c r="B66" s="102"/>
      <c r="C66" s="102"/>
      <c r="D66" s="102"/>
      <c r="E66" s="102"/>
      <c r="F66" s="99" t="str">
        <f aca="false">IF(E66="","",IFERROR(INDEX('Fontes e Parcerias'!$C$5:$C$500,MATCH(IFERROR(LEFT(E66,FIND(" · ",E66)-1),E66),'Fontes e Parcerias'!$A$5:$A$500,0)),"Fonte não encontrada"))</f>
        <v/>
      </c>
      <c r="G66" s="103"/>
      <c r="H66" s="102"/>
      <c r="I66" s="102"/>
      <c r="J66" s="117"/>
      <c r="K66" s="103"/>
      <c r="L66" s="103"/>
      <c r="M66" s="99" t="str">
        <f aca="false">IF(OR(K66="",L66=""),"",IF((IF(L66="Alto",3,IF(L66="Médio",2,1))-IF(K66="Alto",3,IF(K66="Médio",2,1)))=2,"⚡ Quick win",IF((IF(L66="Alto",3,IF(L66="Médio",2,1))-IF(K66="Alto",3,IF(K66="Médio",2,1)))=1,"🚀 Alto retorno",IF(AND(L66="Alto",K66="Alto"),"🎯 Estratégica",IF((IF(L66="Alto",3,IF(L66="Médio",2,1))-IF(K66="Alto",3,IF(K66="Médio",2,1)))=0,"⚖ Equilibrada","⏳ Baixo retorno")))))</f>
        <v/>
      </c>
      <c r="N66" s="102"/>
      <c r="O66" s="102"/>
      <c r="P66" s="103"/>
      <c r="Q66" s="102"/>
      <c r="R66" s="104"/>
      <c r="S66" s="102"/>
      <c r="T66" s="104"/>
      <c r="U66" s="102"/>
    </row>
    <row r="67" customFormat="false" ht="15" hidden="false" customHeight="false" outlineLevel="0" collapsed="false">
      <c r="A67" s="93" t="s">
        <v>1605</v>
      </c>
      <c r="B67" s="105"/>
      <c r="C67" s="105"/>
      <c r="D67" s="105"/>
      <c r="E67" s="105"/>
      <c r="F67" s="99" t="str">
        <f aca="false">IF(E67="","",IFERROR(INDEX('Fontes e Parcerias'!$C$5:$C$500,MATCH(IFERROR(LEFT(E67,FIND(" · ",E67)-1),E67),'Fontes e Parcerias'!$A$5:$A$500,0)),"Fonte não encontrada"))</f>
        <v/>
      </c>
      <c r="G67" s="106"/>
      <c r="H67" s="105"/>
      <c r="I67" s="105"/>
      <c r="J67" s="118"/>
      <c r="K67" s="106"/>
      <c r="L67" s="106"/>
      <c r="M67" s="99" t="str">
        <f aca="false">IF(OR(K67="",L67=""),"",IF((IF(L67="Alto",3,IF(L67="Médio",2,1))-IF(K67="Alto",3,IF(K67="Médio",2,1)))=2,"⚡ Quick win",IF((IF(L67="Alto",3,IF(L67="Médio",2,1))-IF(K67="Alto",3,IF(K67="Médio",2,1)))=1,"🚀 Alto retorno",IF(AND(L67="Alto",K67="Alto"),"🎯 Estratégica",IF((IF(L67="Alto",3,IF(L67="Médio",2,1))-IF(K67="Alto",3,IF(K67="Médio",2,1)))=0,"⚖ Equilibrada","⏳ Baixo retorno")))))</f>
        <v/>
      </c>
      <c r="N67" s="105"/>
      <c r="O67" s="105"/>
      <c r="P67" s="106"/>
      <c r="Q67" s="105"/>
      <c r="R67" s="107"/>
      <c r="S67" s="105"/>
      <c r="T67" s="107"/>
      <c r="U67" s="105"/>
    </row>
    <row r="68" customFormat="false" ht="15" hidden="false" customHeight="false" outlineLevel="0" collapsed="false">
      <c r="A68" s="101" t="s">
        <v>1606</v>
      </c>
      <c r="B68" s="102"/>
      <c r="C68" s="102"/>
      <c r="D68" s="102"/>
      <c r="E68" s="102"/>
      <c r="F68" s="99" t="str">
        <f aca="false">IF(E68="","",IFERROR(INDEX('Fontes e Parcerias'!$C$5:$C$500,MATCH(IFERROR(LEFT(E68,FIND(" · ",E68)-1),E68),'Fontes e Parcerias'!$A$5:$A$500,0)),"Fonte não encontrada"))</f>
        <v/>
      </c>
      <c r="G68" s="103"/>
      <c r="H68" s="102"/>
      <c r="I68" s="102"/>
      <c r="J68" s="117"/>
      <c r="K68" s="103"/>
      <c r="L68" s="103"/>
      <c r="M68" s="99" t="str">
        <f aca="false">IF(OR(K68="",L68=""),"",IF((IF(L68="Alto",3,IF(L68="Médio",2,1))-IF(K68="Alto",3,IF(K68="Médio",2,1)))=2,"⚡ Quick win",IF((IF(L68="Alto",3,IF(L68="Médio",2,1))-IF(K68="Alto",3,IF(K68="Médio",2,1)))=1,"🚀 Alto retorno",IF(AND(L68="Alto",K68="Alto"),"🎯 Estratégica",IF((IF(L68="Alto",3,IF(L68="Médio",2,1))-IF(K68="Alto",3,IF(K68="Médio",2,1)))=0,"⚖ Equilibrada","⏳ Baixo retorno")))))</f>
        <v/>
      </c>
      <c r="N68" s="102"/>
      <c r="O68" s="102"/>
      <c r="P68" s="103"/>
      <c r="Q68" s="102"/>
      <c r="R68" s="104"/>
      <c r="S68" s="102"/>
      <c r="T68" s="104"/>
      <c r="U68" s="102"/>
    </row>
    <row r="69" customFormat="false" ht="15" hidden="false" customHeight="false" outlineLevel="0" collapsed="false">
      <c r="A69" s="93" t="s">
        <v>1607</v>
      </c>
      <c r="B69" s="105"/>
      <c r="C69" s="105"/>
      <c r="D69" s="105"/>
      <c r="E69" s="105"/>
      <c r="F69" s="99" t="str">
        <f aca="false">IF(E69="","",IFERROR(INDEX('Fontes e Parcerias'!$C$5:$C$500,MATCH(IFERROR(LEFT(E69,FIND(" · ",E69)-1),E69),'Fontes e Parcerias'!$A$5:$A$500,0)),"Fonte não encontrada"))</f>
        <v/>
      </c>
      <c r="G69" s="106"/>
      <c r="H69" s="105"/>
      <c r="I69" s="105"/>
      <c r="J69" s="118"/>
      <c r="K69" s="106"/>
      <c r="L69" s="106"/>
      <c r="M69" s="99" t="str">
        <f aca="false">IF(OR(K69="",L69=""),"",IF((IF(L69="Alto",3,IF(L69="Médio",2,1))-IF(K69="Alto",3,IF(K69="Médio",2,1)))=2,"⚡ Quick win",IF((IF(L69="Alto",3,IF(L69="Médio",2,1))-IF(K69="Alto",3,IF(K69="Médio",2,1)))=1,"🚀 Alto retorno",IF(AND(L69="Alto",K69="Alto"),"🎯 Estratégica",IF((IF(L69="Alto",3,IF(L69="Médio",2,1))-IF(K69="Alto",3,IF(K69="Médio",2,1)))=0,"⚖ Equilibrada","⏳ Baixo retorno")))))</f>
        <v/>
      </c>
      <c r="N69" s="105"/>
      <c r="O69" s="105"/>
      <c r="P69" s="106"/>
      <c r="Q69" s="105"/>
      <c r="R69" s="107"/>
      <c r="S69" s="105"/>
      <c r="T69" s="107"/>
      <c r="U69" s="105"/>
    </row>
    <row r="70" customFormat="false" ht="15" hidden="false" customHeight="false" outlineLevel="0" collapsed="false">
      <c r="A70" s="101" t="s">
        <v>1608</v>
      </c>
      <c r="B70" s="102"/>
      <c r="C70" s="102"/>
      <c r="D70" s="102"/>
      <c r="E70" s="102"/>
      <c r="F70" s="99" t="str">
        <f aca="false">IF(E70="","",IFERROR(INDEX('Fontes e Parcerias'!$C$5:$C$500,MATCH(IFERROR(LEFT(E70,FIND(" · ",E70)-1),E70),'Fontes e Parcerias'!$A$5:$A$500,0)),"Fonte não encontrada"))</f>
        <v/>
      </c>
      <c r="G70" s="103"/>
      <c r="H70" s="102"/>
      <c r="I70" s="102"/>
      <c r="J70" s="117"/>
      <c r="K70" s="103"/>
      <c r="L70" s="103"/>
      <c r="M70" s="99" t="str">
        <f aca="false">IF(OR(K70="",L70=""),"",IF((IF(L70="Alto",3,IF(L70="Médio",2,1))-IF(K70="Alto",3,IF(K70="Médio",2,1)))=2,"⚡ Quick win",IF((IF(L70="Alto",3,IF(L70="Médio",2,1))-IF(K70="Alto",3,IF(K70="Médio",2,1)))=1,"🚀 Alto retorno",IF(AND(L70="Alto",K70="Alto"),"🎯 Estratégica",IF((IF(L70="Alto",3,IF(L70="Médio",2,1))-IF(K70="Alto",3,IF(K70="Médio",2,1)))=0,"⚖ Equilibrada","⏳ Baixo retorno")))))</f>
        <v/>
      </c>
      <c r="N70" s="102"/>
      <c r="O70" s="102"/>
      <c r="P70" s="103"/>
      <c r="Q70" s="102"/>
      <c r="R70" s="104"/>
      <c r="S70" s="102"/>
      <c r="T70" s="104"/>
      <c r="U70" s="102"/>
    </row>
    <row r="71" customFormat="false" ht="15" hidden="false" customHeight="false" outlineLevel="0" collapsed="false">
      <c r="A71" s="93" t="s">
        <v>1609</v>
      </c>
      <c r="B71" s="105"/>
      <c r="C71" s="105"/>
      <c r="D71" s="105"/>
      <c r="E71" s="105"/>
      <c r="F71" s="99" t="str">
        <f aca="false">IF(E71="","",IFERROR(INDEX('Fontes e Parcerias'!$C$5:$C$500,MATCH(IFERROR(LEFT(E71,FIND(" · ",E71)-1),E71),'Fontes e Parcerias'!$A$5:$A$500,0)),"Fonte não encontrada"))</f>
        <v/>
      </c>
      <c r="G71" s="106"/>
      <c r="H71" s="105"/>
      <c r="I71" s="105"/>
      <c r="J71" s="118"/>
      <c r="K71" s="106"/>
      <c r="L71" s="106"/>
      <c r="M71" s="99" t="str">
        <f aca="false">IF(OR(K71="",L71=""),"",IF((IF(L71="Alto",3,IF(L71="Médio",2,1))-IF(K71="Alto",3,IF(K71="Médio",2,1)))=2,"⚡ Quick win",IF((IF(L71="Alto",3,IF(L71="Médio",2,1))-IF(K71="Alto",3,IF(K71="Médio",2,1)))=1,"🚀 Alto retorno",IF(AND(L71="Alto",K71="Alto"),"🎯 Estratégica",IF((IF(L71="Alto",3,IF(L71="Médio",2,1))-IF(K71="Alto",3,IF(K71="Médio",2,1)))=0,"⚖ Equilibrada","⏳ Baixo retorno")))))</f>
        <v/>
      </c>
      <c r="N71" s="105"/>
      <c r="O71" s="105"/>
      <c r="P71" s="106"/>
      <c r="Q71" s="105"/>
      <c r="R71" s="107"/>
      <c r="S71" s="105"/>
      <c r="T71" s="107"/>
      <c r="U71" s="105"/>
    </row>
    <row r="72" customFormat="false" ht="15" hidden="false" customHeight="false" outlineLevel="0" collapsed="false">
      <c r="A72" s="101" t="s">
        <v>1610</v>
      </c>
      <c r="B72" s="102"/>
      <c r="C72" s="102"/>
      <c r="D72" s="102"/>
      <c r="E72" s="102"/>
      <c r="F72" s="99" t="str">
        <f aca="false">IF(E72="","",IFERROR(INDEX('Fontes e Parcerias'!$C$5:$C$500,MATCH(IFERROR(LEFT(E72,FIND(" · ",E72)-1),E72),'Fontes e Parcerias'!$A$5:$A$500,0)),"Fonte não encontrada"))</f>
        <v/>
      </c>
      <c r="G72" s="103"/>
      <c r="H72" s="102"/>
      <c r="I72" s="102"/>
      <c r="J72" s="117"/>
      <c r="K72" s="103"/>
      <c r="L72" s="103"/>
      <c r="M72" s="99" t="str">
        <f aca="false">IF(OR(K72="",L72=""),"",IF((IF(L72="Alto",3,IF(L72="Médio",2,1))-IF(K72="Alto",3,IF(K72="Médio",2,1)))=2,"⚡ Quick win",IF((IF(L72="Alto",3,IF(L72="Médio",2,1))-IF(K72="Alto",3,IF(K72="Médio",2,1)))=1,"🚀 Alto retorno",IF(AND(L72="Alto",K72="Alto"),"🎯 Estratégica",IF((IF(L72="Alto",3,IF(L72="Médio",2,1))-IF(K72="Alto",3,IF(K72="Médio",2,1)))=0,"⚖ Equilibrada","⏳ Baixo retorno")))))</f>
        <v/>
      </c>
      <c r="N72" s="102"/>
      <c r="O72" s="102"/>
      <c r="P72" s="103"/>
      <c r="Q72" s="102"/>
      <c r="R72" s="104"/>
      <c r="S72" s="102"/>
      <c r="T72" s="104"/>
      <c r="U72" s="102"/>
    </row>
    <row r="73" customFormat="false" ht="15" hidden="false" customHeight="false" outlineLevel="0" collapsed="false">
      <c r="A73" s="93" t="s">
        <v>1611</v>
      </c>
      <c r="B73" s="105"/>
      <c r="C73" s="105"/>
      <c r="D73" s="105"/>
      <c r="E73" s="105"/>
      <c r="F73" s="99" t="str">
        <f aca="false">IF(E73="","",IFERROR(INDEX('Fontes e Parcerias'!$C$5:$C$500,MATCH(IFERROR(LEFT(E73,FIND(" · ",E73)-1),E73),'Fontes e Parcerias'!$A$5:$A$500,0)),"Fonte não encontrada"))</f>
        <v/>
      </c>
      <c r="G73" s="106"/>
      <c r="H73" s="105"/>
      <c r="I73" s="105"/>
      <c r="J73" s="118"/>
      <c r="K73" s="106"/>
      <c r="L73" s="106"/>
      <c r="M73" s="99" t="str">
        <f aca="false">IF(OR(K73="",L73=""),"",IF((IF(L73="Alto",3,IF(L73="Médio",2,1))-IF(K73="Alto",3,IF(K73="Médio",2,1)))=2,"⚡ Quick win",IF((IF(L73="Alto",3,IF(L73="Médio",2,1))-IF(K73="Alto",3,IF(K73="Médio",2,1)))=1,"🚀 Alto retorno",IF(AND(L73="Alto",K73="Alto"),"🎯 Estratégica",IF((IF(L73="Alto",3,IF(L73="Médio",2,1))-IF(K73="Alto",3,IF(K73="Médio",2,1)))=0,"⚖ Equilibrada","⏳ Baixo retorno")))))</f>
        <v/>
      </c>
      <c r="N73" s="105"/>
      <c r="O73" s="105"/>
      <c r="P73" s="106"/>
      <c r="Q73" s="105"/>
      <c r="R73" s="107"/>
      <c r="S73" s="105"/>
      <c r="T73" s="107"/>
      <c r="U73" s="105"/>
    </row>
    <row r="74" customFormat="false" ht="15" hidden="false" customHeight="false" outlineLevel="0" collapsed="false">
      <c r="A74" s="101" t="s">
        <v>1612</v>
      </c>
      <c r="B74" s="102"/>
      <c r="C74" s="102"/>
      <c r="D74" s="102"/>
      <c r="E74" s="102"/>
      <c r="F74" s="99" t="str">
        <f aca="false">IF(E74="","",IFERROR(INDEX('Fontes e Parcerias'!$C$5:$C$500,MATCH(IFERROR(LEFT(E74,FIND(" · ",E74)-1),E74),'Fontes e Parcerias'!$A$5:$A$500,0)),"Fonte não encontrada"))</f>
        <v/>
      </c>
      <c r="G74" s="103"/>
      <c r="H74" s="102"/>
      <c r="I74" s="102"/>
      <c r="J74" s="117"/>
      <c r="K74" s="103"/>
      <c r="L74" s="103"/>
      <c r="M74" s="99" t="str">
        <f aca="false">IF(OR(K74="",L74=""),"",IF((IF(L74="Alto",3,IF(L74="Médio",2,1))-IF(K74="Alto",3,IF(K74="Médio",2,1)))=2,"⚡ Quick win",IF((IF(L74="Alto",3,IF(L74="Médio",2,1))-IF(K74="Alto",3,IF(K74="Médio",2,1)))=1,"🚀 Alto retorno",IF(AND(L74="Alto",K74="Alto"),"🎯 Estratégica",IF((IF(L74="Alto",3,IF(L74="Médio",2,1))-IF(K74="Alto",3,IF(K74="Médio",2,1)))=0,"⚖ Equilibrada","⏳ Baixo retorno")))))</f>
        <v/>
      </c>
      <c r="N74" s="102"/>
      <c r="O74" s="102"/>
      <c r="P74" s="103"/>
      <c r="Q74" s="102"/>
      <c r="R74" s="104"/>
      <c r="S74" s="102"/>
      <c r="T74" s="104"/>
      <c r="U74" s="102"/>
    </row>
    <row r="75" customFormat="false" ht="15" hidden="false" customHeight="false" outlineLevel="0" collapsed="false">
      <c r="A75" s="93" t="s">
        <v>1613</v>
      </c>
      <c r="B75" s="105"/>
      <c r="C75" s="105"/>
      <c r="D75" s="105"/>
      <c r="E75" s="105"/>
      <c r="F75" s="99" t="str">
        <f aca="false">IF(E75="","",IFERROR(INDEX('Fontes e Parcerias'!$C$5:$C$500,MATCH(IFERROR(LEFT(E75,FIND(" · ",E75)-1),E75),'Fontes e Parcerias'!$A$5:$A$500,0)),"Fonte não encontrada"))</f>
        <v/>
      </c>
      <c r="G75" s="106"/>
      <c r="H75" s="105"/>
      <c r="I75" s="105"/>
      <c r="J75" s="118"/>
      <c r="K75" s="106"/>
      <c r="L75" s="106"/>
      <c r="M75" s="99" t="str">
        <f aca="false">IF(OR(K75="",L75=""),"",IF((IF(L75="Alto",3,IF(L75="Médio",2,1))-IF(K75="Alto",3,IF(K75="Médio",2,1)))=2,"⚡ Quick win",IF((IF(L75="Alto",3,IF(L75="Médio",2,1))-IF(K75="Alto",3,IF(K75="Médio",2,1)))=1,"🚀 Alto retorno",IF(AND(L75="Alto",K75="Alto"),"🎯 Estratégica",IF((IF(L75="Alto",3,IF(L75="Médio",2,1))-IF(K75="Alto",3,IF(K75="Médio",2,1)))=0,"⚖ Equilibrada","⏳ Baixo retorno")))))</f>
        <v/>
      </c>
      <c r="N75" s="105"/>
      <c r="O75" s="105"/>
      <c r="P75" s="106"/>
      <c r="Q75" s="105"/>
      <c r="R75" s="107"/>
      <c r="S75" s="105"/>
      <c r="T75" s="107"/>
      <c r="U75" s="105"/>
    </row>
    <row r="76" customFormat="false" ht="15" hidden="false" customHeight="false" outlineLevel="0" collapsed="false">
      <c r="A76" s="101" t="s">
        <v>1614</v>
      </c>
      <c r="B76" s="102"/>
      <c r="C76" s="102"/>
      <c r="D76" s="102"/>
      <c r="E76" s="102"/>
      <c r="F76" s="99" t="str">
        <f aca="false">IF(E76="","",IFERROR(INDEX('Fontes e Parcerias'!$C$5:$C$500,MATCH(IFERROR(LEFT(E76,FIND(" · ",E76)-1),E76),'Fontes e Parcerias'!$A$5:$A$500,0)),"Fonte não encontrada"))</f>
        <v/>
      </c>
      <c r="G76" s="103"/>
      <c r="H76" s="102"/>
      <c r="I76" s="102"/>
      <c r="J76" s="117"/>
      <c r="K76" s="103"/>
      <c r="L76" s="103"/>
      <c r="M76" s="99" t="str">
        <f aca="false">IF(OR(K76="",L76=""),"",IF((IF(L76="Alto",3,IF(L76="Médio",2,1))-IF(K76="Alto",3,IF(K76="Médio",2,1)))=2,"⚡ Quick win",IF((IF(L76="Alto",3,IF(L76="Médio",2,1))-IF(K76="Alto",3,IF(K76="Médio",2,1)))=1,"🚀 Alto retorno",IF(AND(L76="Alto",K76="Alto"),"🎯 Estratégica",IF((IF(L76="Alto",3,IF(L76="Médio",2,1))-IF(K76="Alto",3,IF(K76="Médio",2,1)))=0,"⚖ Equilibrada","⏳ Baixo retorno")))))</f>
        <v/>
      </c>
      <c r="N76" s="102"/>
      <c r="O76" s="102"/>
      <c r="P76" s="103"/>
      <c r="Q76" s="102"/>
      <c r="R76" s="104"/>
      <c r="S76" s="102"/>
      <c r="T76" s="104"/>
      <c r="U76" s="102"/>
    </row>
    <row r="77" customFormat="false" ht="15" hidden="false" customHeight="false" outlineLevel="0" collapsed="false">
      <c r="A77" s="93" t="s">
        <v>1615</v>
      </c>
      <c r="B77" s="105"/>
      <c r="C77" s="105"/>
      <c r="D77" s="105"/>
      <c r="E77" s="105"/>
      <c r="F77" s="99" t="str">
        <f aca="false">IF(E77="","",IFERROR(INDEX('Fontes e Parcerias'!$C$5:$C$500,MATCH(IFERROR(LEFT(E77,FIND(" · ",E77)-1),E77),'Fontes e Parcerias'!$A$5:$A$500,0)),"Fonte não encontrada"))</f>
        <v/>
      </c>
      <c r="G77" s="106"/>
      <c r="H77" s="105"/>
      <c r="I77" s="105"/>
      <c r="J77" s="118"/>
      <c r="K77" s="106"/>
      <c r="L77" s="106"/>
      <c r="M77" s="99" t="str">
        <f aca="false">IF(OR(K77="",L77=""),"",IF((IF(L77="Alto",3,IF(L77="Médio",2,1))-IF(K77="Alto",3,IF(K77="Médio",2,1)))=2,"⚡ Quick win",IF((IF(L77="Alto",3,IF(L77="Médio",2,1))-IF(K77="Alto",3,IF(K77="Médio",2,1)))=1,"🚀 Alto retorno",IF(AND(L77="Alto",K77="Alto"),"🎯 Estratégica",IF((IF(L77="Alto",3,IF(L77="Médio",2,1))-IF(K77="Alto",3,IF(K77="Médio",2,1)))=0,"⚖ Equilibrada","⏳ Baixo retorno")))))</f>
        <v/>
      </c>
      <c r="N77" s="105"/>
      <c r="O77" s="105"/>
      <c r="P77" s="106"/>
      <c r="Q77" s="105"/>
      <c r="R77" s="107"/>
      <c r="S77" s="105"/>
      <c r="T77" s="107"/>
      <c r="U77" s="105"/>
    </row>
    <row r="78" customFormat="false" ht="15" hidden="false" customHeight="false" outlineLevel="0" collapsed="false">
      <c r="A78" s="101" t="s">
        <v>1616</v>
      </c>
      <c r="B78" s="102"/>
      <c r="C78" s="102"/>
      <c r="D78" s="102"/>
      <c r="E78" s="102"/>
      <c r="F78" s="99" t="str">
        <f aca="false">IF(E78="","",IFERROR(INDEX('Fontes e Parcerias'!$C$5:$C$500,MATCH(IFERROR(LEFT(E78,FIND(" · ",E78)-1),E78),'Fontes e Parcerias'!$A$5:$A$500,0)),"Fonte não encontrada"))</f>
        <v/>
      </c>
      <c r="G78" s="103"/>
      <c r="H78" s="102"/>
      <c r="I78" s="102"/>
      <c r="J78" s="117"/>
      <c r="K78" s="103"/>
      <c r="L78" s="103"/>
      <c r="M78" s="99" t="str">
        <f aca="false">IF(OR(K78="",L78=""),"",IF((IF(L78="Alto",3,IF(L78="Médio",2,1))-IF(K78="Alto",3,IF(K78="Médio",2,1)))=2,"⚡ Quick win",IF((IF(L78="Alto",3,IF(L78="Médio",2,1))-IF(K78="Alto",3,IF(K78="Médio",2,1)))=1,"🚀 Alto retorno",IF(AND(L78="Alto",K78="Alto"),"🎯 Estratégica",IF((IF(L78="Alto",3,IF(L78="Médio",2,1))-IF(K78="Alto",3,IF(K78="Médio",2,1)))=0,"⚖ Equilibrada","⏳ Baixo retorno")))))</f>
        <v/>
      </c>
      <c r="N78" s="102"/>
      <c r="O78" s="102"/>
      <c r="P78" s="103"/>
      <c r="Q78" s="102"/>
      <c r="R78" s="104"/>
      <c r="S78" s="102"/>
      <c r="T78" s="104"/>
      <c r="U78" s="102"/>
    </row>
    <row r="79" customFormat="false" ht="15" hidden="false" customHeight="false" outlineLevel="0" collapsed="false">
      <c r="A79" s="93" t="s">
        <v>1617</v>
      </c>
      <c r="B79" s="105"/>
      <c r="C79" s="105"/>
      <c r="D79" s="105"/>
      <c r="E79" s="105"/>
      <c r="F79" s="99" t="str">
        <f aca="false">IF(E79="","",IFERROR(INDEX('Fontes e Parcerias'!$C$5:$C$500,MATCH(IFERROR(LEFT(E79,FIND(" · ",E79)-1),E79),'Fontes e Parcerias'!$A$5:$A$500,0)),"Fonte não encontrada"))</f>
        <v/>
      </c>
      <c r="G79" s="106"/>
      <c r="H79" s="105"/>
      <c r="I79" s="105"/>
      <c r="J79" s="118"/>
      <c r="K79" s="106"/>
      <c r="L79" s="106"/>
      <c r="M79" s="99" t="str">
        <f aca="false">IF(OR(K79="",L79=""),"",IF((IF(L79="Alto",3,IF(L79="Médio",2,1))-IF(K79="Alto",3,IF(K79="Médio",2,1)))=2,"⚡ Quick win",IF((IF(L79="Alto",3,IF(L79="Médio",2,1))-IF(K79="Alto",3,IF(K79="Médio",2,1)))=1,"🚀 Alto retorno",IF(AND(L79="Alto",K79="Alto"),"🎯 Estratégica",IF((IF(L79="Alto",3,IF(L79="Médio",2,1))-IF(K79="Alto",3,IF(K79="Médio",2,1)))=0,"⚖ Equilibrada","⏳ Baixo retorno")))))</f>
        <v/>
      </c>
      <c r="N79" s="105"/>
      <c r="O79" s="105"/>
      <c r="P79" s="106"/>
      <c r="Q79" s="105"/>
      <c r="R79" s="107"/>
      <c r="S79" s="105"/>
      <c r="T79" s="107"/>
      <c r="U79" s="105"/>
    </row>
    <row r="80" customFormat="false" ht="15" hidden="false" customHeight="false" outlineLevel="0" collapsed="false">
      <c r="A80" s="101" t="s">
        <v>1618</v>
      </c>
      <c r="B80" s="102"/>
      <c r="C80" s="102"/>
      <c r="D80" s="102"/>
      <c r="E80" s="102"/>
      <c r="F80" s="99" t="str">
        <f aca="false">IF(E80="","",IFERROR(INDEX('Fontes e Parcerias'!$C$5:$C$500,MATCH(IFERROR(LEFT(E80,FIND(" · ",E80)-1),E80),'Fontes e Parcerias'!$A$5:$A$500,0)),"Fonte não encontrada"))</f>
        <v/>
      </c>
      <c r="G80" s="103"/>
      <c r="H80" s="102"/>
      <c r="I80" s="102"/>
      <c r="J80" s="117"/>
      <c r="K80" s="103"/>
      <c r="L80" s="103"/>
      <c r="M80" s="99" t="str">
        <f aca="false">IF(OR(K80="",L80=""),"",IF((IF(L80="Alto",3,IF(L80="Médio",2,1))-IF(K80="Alto",3,IF(K80="Médio",2,1)))=2,"⚡ Quick win",IF((IF(L80="Alto",3,IF(L80="Médio",2,1))-IF(K80="Alto",3,IF(K80="Médio",2,1)))=1,"🚀 Alto retorno",IF(AND(L80="Alto",K80="Alto"),"🎯 Estratégica",IF((IF(L80="Alto",3,IF(L80="Médio",2,1))-IF(K80="Alto",3,IF(K80="Médio",2,1)))=0,"⚖ Equilibrada","⏳ Baixo retorno")))))</f>
        <v/>
      </c>
      <c r="N80" s="102"/>
      <c r="O80" s="102"/>
      <c r="P80" s="103"/>
      <c r="Q80" s="102"/>
      <c r="R80" s="104"/>
      <c r="S80" s="102"/>
      <c r="T80" s="104"/>
      <c r="U80" s="102"/>
    </row>
    <row r="81" customFormat="false" ht="15" hidden="false" customHeight="false" outlineLevel="0" collapsed="false">
      <c r="A81" s="93" t="s">
        <v>1619</v>
      </c>
      <c r="B81" s="105"/>
      <c r="C81" s="105"/>
      <c r="D81" s="105"/>
      <c r="E81" s="105"/>
      <c r="F81" s="99" t="str">
        <f aca="false">IF(E81="","",IFERROR(INDEX('Fontes e Parcerias'!$C$5:$C$500,MATCH(IFERROR(LEFT(E81,FIND(" · ",E81)-1),E81),'Fontes e Parcerias'!$A$5:$A$500,0)),"Fonte não encontrada"))</f>
        <v/>
      </c>
      <c r="G81" s="106"/>
      <c r="H81" s="105"/>
      <c r="I81" s="105"/>
      <c r="J81" s="118"/>
      <c r="K81" s="106"/>
      <c r="L81" s="106"/>
      <c r="M81" s="99" t="str">
        <f aca="false">IF(OR(K81="",L81=""),"",IF((IF(L81="Alto",3,IF(L81="Médio",2,1))-IF(K81="Alto",3,IF(K81="Médio",2,1)))=2,"⚡ Quick win",IF((IF(L81="Alto",3,IF(L81="Médio",2,1))-IF(K81="Alto",3,IF(K81="Médio",2,1)))=1,"🚀 Alto retorno",IF(AND(L81="Alto",K81="Alto"),"🎯 Estratégica",IF((IF(L81="Alto",3,IF(L81="Médio",2,1))-IF(K81="Alto",3,IF(K81="Médio",2,1)))=0,"⚖ Equilibrada","⏳ Baixo retorno")))))</f>
        <v/>
      </c>
      <c r="N81" s="105"/>
      <c r="O81" s="105"/>
      <c r="P81" s="106"/>
      <c r="Q81" s="105"/>
      <c r="R81" s="107"/>
      <c r="S81" s="105"/>
      <c r="T81" s="107"/>
      <c r="U81" s="105"/>
    </row>
    <row r="82" customFormat="false" ht="15" hidden="false" customHeight="false" outlineLevel="0" collapsed="false">
      <c r="A82" s="101" t="s">
        <v>1620</v>
      </c>
      <c r="B82" s="102"/>
      <c r="C82" s="102"/>
      <c r="D82" s="102"/>
      <c r="E82" s="102"/>
      <c r="F82" s="99" t="str">
        <f aca="false">IF(E82="","",IFERROR(INDEX('Fontes e Parcerias'!$C$5:$C$500,MATCH(IFERROR(LEFT(E82,FIND(" · ",E82)-1),E82),'Fontes e Parcerias'!$A$5:$A$500,0)),"Fonte não encontrada"))</f>
        <v/>
      </c>
      <c r="G82" s="103"/>
      <c r="H82" s="102"/>
      <c r="I82" s="102"/>
      <c r="J82" s="117"/>
      <c r="K82" s="103"/>
      <c r="L82" s="103"/>
      <c r="M82" s="99" t="str">
        <f aca="false">IF(OR(K82="",L82=""),"",IF((IF(L82="Alto",3,IF(L82="Médio",2,1))-IF(K82="Alto",3,IF(K82="Médio",2,1)))=2,"⚡ Quick win",IF((IF(L82="Alto",3,IF(L82="Médio",2,1))-IF(K82="Alto",3,IF(K82="Médio",2,1)))=1,"🚀 Alto retorno",IF(AND(L82="Alto",K82="Alto"),"🎯 Estratégica",IF((IF(L82="Alto",3,IF(L82="Médio",2,1))-IF(K82="Alto",3,IF(K82="Médio",2,1)))=0,"⚖ Equilibrada","⏳ Baixo retorno")))))</f>
        <v/>
      </c>
      <c r="N82" s="102"/>
      <c r="O82" s="102"/>
      <c r="P82" s="103"/>
      <c r="Q82" s="102"/>
      <c r="R82" s="104"/>
      <c r="S82" s="102"/>
      <c r="T82" s="104"/>
      <c r="U82" s="102"/>
    </row>
    <row r="83" customFormat="false" ht="15" hidden="false" customHeight="false" outlineLevel="0" collapsed="false">
      <c r="A83" s="93" t="s">
        <v>1621</v>
      </c>
      <c r="B83" s="105"/>
      <c r="C83" s="105"/>
      <c r="D83" s="105"/>
      <c r="E83" s="105"/>
      <c r="F83" s="99" t="str">
        <f aca="false">IF(E83="","",IFERROR(INDEX('Fontes e Parcerias'!$C$5:$C$500,MATCH(IFERROR(LEFT(E83,FIND(" · ",E83)-1),E83),'Fontes e Parcerias'!$A$5:$A$500,0)),"Fonte não encontrada"))</f>
        <v/>
      </c>
      <c r="G83" s="106"/>
      <c r="H83" s="105"/>
      <c r="I83" s="105"/>
      <c r="J83" s="118"/>
      <c r="K83" s="106"/>
      <c r="L83" s="106"/>
      <c r="M83" s="99" t="str">
        <f aca="false">IF(OR(K83="",L83=""),"",IF((IF(L83="Alto",3,IF(L83="Médio",2,1))-IF(K83="Alto",3,IF(K83="Médio",2,1)))=2,"⚡ Quick win",IF((IF(L83="Alto",3,IF(L83="Médio",2,1))-IF(K83="Alto",3,IF(K83="Médio",2,1)))=1,"🚀 Alto retorno",IF(AND(L83="Alto",K83="Alto"),"🎯 Estratégica",IF((IF(L83="Alto",3,IF(L83="Médio",2,1))-IF(K83="Alto",3,IF(K83="Médio",2,1)))=0,"⚖ Equilibrada","⏳ Baixo retorno")))))</f>
        <v/>
      </c>
      <c r="N83" s="105"/>
      <c r="O83" s="105"/>
      <c r="P83" s="106"/>
      <c r="Q83" s="105"/>
      <c r="R83" s="107"/>
      <c r="S83" s="105"/>
      <c r="T83" s="107"/>
      <c r="U83" s="105"/>
    </row>
    <row r="84" customFormat="false" ht="15" hidden="false" customHeight="false" outlineLevel="0" collapsed="false">
      <c r="A84" s="101" t="s">
        <v>1622</v>
      </c>
      <c r="B84" s="102"/>
      <c r="C84" s="102"/>
      <c r="D84" s="102"/>
      <c r="E84" s="102"/>
      <c r="F84" s="99" t="str">
        <f aca="false">IF(E84="","",IFERROR(INDEX('Fontes e Parcerias'!$C$5:$C$500,MATCH(IFERROR(LEFT(E84,FIND(" · ",E84)-1),E84),'Fontes e Parcerias'!$A$5:$A$500,0)),"Fonte não encontrada"))</f>
        <v/>
      </c>
      <c r="G84" s="103"/>
      <c r="H84" s="102"/>
      <c r="I84" s="102"/>
      <c r="J84" s="117"/>
      <c r="K84" s="103"/>
      <c r="L84" s="103"/>
      <c r="M84" s="99" t="str">
        <f aca="false">IF(OR(K84="",L84=""),"",IF((IF(L84="Alto",3,IF(L84="Médio",2,1))-IF(K84="Alto",3,IF(K84="Médio",2,1)))=2,"⚡ Quick win",IF((IF(L84="Alto",3,IF(L84="Médio",2,1))-IF(K84="Alto",3,IF(K84="Médio",2,1)))=1,"🚀 Alto retorno",IF(AND(L84="Alto",K84="Alto"),"🎯 Estratégica",IF((IF(L84="Alto",3,IF(L84="Médio",2,1))-IF(K84="Alto",3,IF(K84="Médio",2,1)))=0,"⚖ Equilibrada","⏳ Baixo retorno")))))</f>
        <v/>
      </c>
      <c r="N84" s="102"/>
      <c r="O84" s="102"/>
      <c r="P84" s="103"/>
      <c r="Q84" s="102"/>
      <c r="R84" s="104"/>
      <c r="S84" s="102"/>
      <c r="T84" s="104"/>
      <c r="U84" s="102"/>
    </row>
    <row r="85" customFormat="false" ht="15" hidden="false" customHeight="false" outlineLevel="0" collapsed="false">
      <c r="A85" s="93" t="s">
        <v>1623</v>
      </c>
      <c r="B85" s="105"/>
      <c r="C85" s="105"/>
      <c r="D85" s="105"/>
      <c r="E85" s="105"/>
      <c r="F85" s="99" t="str">
        <f aca="false">IF(E85="","",IFERROR(INDEX('Fontes e Parcerias'!$C$5:$C$500,MATCH(IFERROR(LEFT(E85,FIND(" · ",E85)-1),E85),'Fontes e Parcerias'!$A$5:$A$500,0)),"Fonte não encontrada"))</f>
        <v/>
      </c>
      <c r="G85" s="106"/>
      <c r="H85" s="105"/>
      <c r="I85" s="105"/>
      <c r="J85" s="118"/>
      <c r="K85" s="106"/>
      <c r="L85" s="106"/>
      <c r="M85" s="99" t="str">
        <f aca="false">IF(OR(K85="",L85=""),"",IF((IF(L85="Alto",3,IF(L85="Médio",2,1))-IF(K85="Alto",3,IF(K85="Médio",2,1)))=2,"⚡ Quick win",IF((IF(L85="Alto",3,IF(L85="Médio",2,1))-IF(K85="Alto",3,IF(K85="Médio",2,1)))=1,"🚀 Alto retorno",IF(AND(L85="Alto",K85="Alto"),"🎯 Estratégica",IF((IF(L85="Alto",3,IF(L85="Médio",2,1))-IF(K85="Alto",3,IF(K85="Médio",2,1)))=0,"⚖ Equilibrada","⏳ Baixo retorno")))))</f>
        <v/>
      </c>
      <c r="N85" s="105"/>
      <c r="O85" s="105"/>
      <c r="P85" s="106"/>
      <c r="Q85" s="105"/>
      <c r="R85" s="107"/>
      <c r="S85" s="105"/>
      <c r="T85" s="107"/>
      <c r="U85" s="105"/>
    </row>
    <row r="86" customFormat="false" ht="15" hidden="false" customHeight="false" outlineLevel="0" collapsed="false">
      <c r="A86" s="101" t="s">
        <v>1624</v>
      </c>
      <c r="B86" s="102"/>
      <c r="C86" s="102"/>
      <c r="D86" s="102"/>
      <c r="E86" s="102"/>
      <c r="F86" s="99" t="str">
        <f aca="false">IF(E86="","",IFERROR(INDEX('Fontes e Parcerias'!$C$5:$C$500,MATCH(IFERROR(LEFT(E86,FIND(" · ",E86)-1),E86),'Fontes e Parcerias'!$A$5:$A$500,0)),"Fonte não encontrada"))</f>
        <v/>
      </c>
      <c r="G86" s="103"/>
      <c r="H86" s="102"/>
      <c r="I86" s="102"/>
      <c r="J86" s="117"/>
      <c r="K86" s="103"/>
      <c r="L86" s="103"/>
      <c r="M86" s="99" t="str">
        <f aca="false">IF(OR(K86="",L86=""),"",IF((IF(L86="Alto",3,IF(L86="Médio",2,1))-IF(K86="Alto",3,IF(K86="Médio",2,1)))=2,"⚡ Quick win",IF((IF(L86="Alto",3,IF(L86="Médio",2,1))-IF(K86="Alto",3,IF(K86="Médio",2,1)))=1,"🚀 Alto retorno",IF(AND(L86="Alto",K86="Alto"),"🎯 Estratégica",IF((IF(L86="Alto",3,IF(L86="Médio",2,1))-IF(K86="Alto",3,IF(K86="Médio",2,1)))=0,"⚖ Equilibrada","⏳ Baixo retorno")))))</f>
        <v/>
      </c>
      <c r="N86" s="102"/>
      <c r="O86" s="102"/>
      <c r="P86" s="103"/>
      <c r="Q86" s="102"/>
      <c r="R86" s="104"/>
      <c r="S86" s="102"/>
      <c r="T86" s="104"/>
      <c r="U86" s="102"/>
    </row>
    <row r="87" customFormat="false" ht="15" hidden="false" customHeight="false" outlineLevel="0" collapsed="false">
      <c r="A87" s="93" t="s">
        <v>1625</v>
      </c>
      <c r="B87" s="105"/>
      <c r="C87" s="105"/>
      <c r="D87" s="105"/>
      <c r="E87" s="105"/>
      <c r="F87" s="99" t="str">
        <f aca="false">IF(E87="","",IFERROR(INDEX('Fontes e Parcerias'!$C$5:$C$500,MATCH(IFERROR(LEFT(E87,FIND(" · ",E87)-1),E87),'Fontes e Parcerias'!$A$5:$A$500,0)),"Fonte não encontrada"))</f>
        <v/>
      </c>
      <c r="G87" s="106"/>
      <c r="H87" s="105"/>
      <c r="I87" s="105"/>
      <c r="J87" s="118"/>
      <c r="K87" s="106"/>
      <c r="L87" s="106"/>
      <c r="M87" s="99" t="str">
        <f aca="false">IF(OR(K87="",L87=""),"",IF((IF(L87="Alto",3,IF(L87="Médio",2,1))-IF(K87="Alto",3,IF(K87="Médio",2,1)))=2,"⚡ Quick win",IF((IF(L87="Alto",3,IF(L87="Médio",2,1))-IF(K87="Alto",3,IF(K87="Médio",2,1)))=1,"🚀 Alto retorno",IF(AND(L87="Alto",K87="Alto"),"🎯 Estratégica",IF((IF(L87="Alto",3,IF(L87="Médio",2,1))-IF(K87="Alto",3,IF(K87="Médio",2,1)))=0,"⚖ Equilibrada","⏳ Baixo retorno")))))</f>
        <v/>
      </c>
      <c r="N87" s="105"/>
      <c r="O87" s="105"/>
      <c r="P87" s="106"/>
      <c r="Q87" s="105"/>
      <c r="R87" s="107"/>
      <c r="S87" s="105"/>
      <c r="T87" s="107"/>
      <c r="U87" s="105"/>
    </row>
    <row r="88" customFormat="false" ht="15" hidden="false" customHeight="false" outlineLevel="0" collapsed="false">
      <c r="A88" s="101" t="s">
        <v>1626</v>
      </c>
      <c r="B88" s="102"/>
      <c r="C88" s="102"/>
      <c r="D88" s="102"/>
      <c r="E88" s="102"/>
      <c r="F88" s="99" t="str">
        <f aca="false">IF(E88="","",IFERROR(INDEX('Fontes e Parcerias'!$C$5:$C$500,MATCH(IFERROR(LEFT(E88,FIND(" · ",E88)-1),E88),'Fontes e Parcerias'!$A$5:$A$500,0)),"Fonte não encontrada"))</f>
        <v/>
      </c>
      <c r="G88" s="103"/>
      <c r="H88" s="102"/>
      <c r="I88" s="102"/>
      <c r="J88" s="117"/>
      <c r="K88" s="103"/>
      <c r="L88" s="103"/>
      <c r="M88" s="99" t="str">
        <f aca="false">IF(OR(K88="",L88=""),"",IF((IF(L88="Alto",3,IF(L88="Médio",2,1))-IF(K88="Alto",3,IF(K88="Médio",2,1)))=2,"⚡ Quick win",IF((IF(L88="Alto",3,IF(L88="Médio",2,1))-IF(K88="Alto",3,IF(K88="Médio",2,1)))=1,"🚀 Alto retorno",IF(AND(L88="Alto",K88="Alto"),"🎯 Estratégica",IF((IF(L88="Alto",3,IF(L88="Médio",2,1))-IF(K88="Alto",3,IF(K88="Médio",2,1)))=0,"⚖ Equilibrada","⏳ Baixo retorno")))))</f>
        <v/>
      </c>
      <c r="N88" s="102"/>
      <c r="O88" s="102"/>
      <c r="P88" s="103"/>
      <c r="Q88" s="102"/>
      <c r="R88" s="104"/>
      <c r="S88" s="102"/>
      <c r="T88" s="104"/>
      <c r="U88" s="102"/>
    </row>
    <row r="89" customFormat="false" ht="15" hidden="false" customHeight="false" outlineLevel="0" collapsed="false">
      <c r="A89" s="93" t="s">
        <v>1627</v>
      </c>
      <c r="B89" s="105"/>
      <c r="C89" s="105"/>
      <c r="D89" s="105"/>
      <c r="E89" s="105"/>
      <c r="F89" s="99" t="str">
        <f aca="false">IF(E89="","",IFERROR(INDEX('Fontes e Parcerias'!$C$5:$C$500,MATCH(IFERROR(LEFT(E89,FIND(" · ",E89)-1),E89),'Fontes e Parcerias'!$A$5:$A$500,0)),"Fonte não encontrada"))</f>
        <v/>
      </c>
      <c r="G89" s="106"/>
      <c r="H89" s="105"/>
      <c r="I89" s="105"/>
      <c r="J89" s="118"/>
      <c r="K89" s="106"/>
      <c r="L89" s="106"/>
      <c r="M89" s="99" t="str">
        <f aca="false">IF(OR(K89="",L89=""),"",IF((IF(L89="Alto",3,IF(L89="Médio",2,1))-IF(K89="Alto",3,IF(K89="Médio",2,1)))=2,"⚡ Quick win",IF((IF(L89="Alto",3,IF(L89="Médio",2,1))-IF(K89="Alto",3,IF(K89="Médio",2,1)))=1,"🚀 Alto retorno",IF(AND(L89="Alto",K89="Alto"),"🎯 Estratégica",IF((IF(L89="Alto",3,IF(L89="Médio",2,1))-IF(K89="Alto",3,IF(K89="Médio",2,1)))=0,"⚖ Equilibrada","⏳ Baixo retorno")))))</f>
        <v/>
      </c>
      <c r="N89" s="105"/>
      <c r="O89" s="105"/>
      <c r="P89" s="106"/>
      <c r="Q89" s="105"/>
      <c r="R89" s="107"/>
      <c r="S89" s="105"/>
      <c r="T89" s="107"/>
      <c r="U89" s="105"/>
    </row>
    <row r="90" customFormat="false" ht="15" hidden="false" customHeight="false" outlineLevel="0" collapsed="false">
      <c r="A90" s="101" t="s">
        <v>1628</v>
      </c>
      <c r="B90" s="102"/>
      <c r="C90" s="102"/>
      <c r="D90" s="102"/>
      <c r="E90" s="102"/>
      <c r="F90" s="99" t="str">
        <f aca="false">IF(E90="","",IFERROR(INDEX('Fontes e Parcerias'!$C$5:$C$500,MATCH(IFERROR(LEFT(E90,FIND(" · ",E90)-1),E90),'Fontes e Parcerias'!$A$5:$A$500,0)),"Fonte não encontrada"))</f>
        <v/>
      </c>
      <c r="G90" s="103"/>
      <c r="H90" s="102"/>
      <c r="I90" s="102"/>
      <c r="J90" s="117"/>
      <c r="K90" s="103"/>
      <c r="L90" s="103"/>
      <c r="M90" s="99" t="str">
        <f aca="false">IF(OR(K90="",L90=""),"",IF((IF(L90="Alto",3,IF(L90="Médio",2,1))-IF(K90="Alto",3,IF(K90="Médio",2,1)))=2,"⚡ Quick win",IF((IF(L90="Alto",3,IF(L90="Médio",2,1))-IF(K90="Alto",3,IF(K90="Médio",2,1)))=1,"🚀 Alto retorno",IF(AND(L90="Alto",K90="Alto"),"🎯 Estratégica",IF((IF(L90="Alto",3,IF(L90="Médio",2,1))-IF(K90="Alto",3,IF(K90="Médio",2,1)))=0,"⚖ Equilibrada","⏳ Baixo retorno")))))</f>
        <v/>
      </c>
      <c r="N90" s="102"/>
      <c r="O90" s="102"/>
      <c r="P90" s="103"/>
      <c r="Q90" s="102"/>
      <c r="R90" s="104"/>
      <c r="S90" s="102"/>
      <c r="T90" s="104"/>
      <c r="U90" s="102"/>
    </row>
    <row r="91" customFormat="false" ht="15" hidden="false" customHeight="false" outlineLevel="0" collapsed="false">
      <c r="A91" s="93" t="s">
        <v>1629</v>
      </c>
      <c r="B91" s="105"/>
      <c r="C91" s="105"/>
      <c r="D91" s="105"/>
      <c r="E91" s="105"/>
      <c r="F91" s="99" t="str">
        <f aca="false">IF(E91="","",IFERROR(INDEX('Fontes e Parcerias'!$C$5:$C$500,MATCH(IFERROR(LEFT(E91,FIND(" · ",E91)-1),E91),'Fontes e Parcerias'!$A$5:$A$500,0)),"Fonte não encontrada"))</f>
        <v/>
      </c>
      <c r="G91" s="106"/>
      <c r="H91" s="105"/>
      <c r="I91" s="105"/>
      <c r="J91" s="118"/>
      <c r="K91" s="106"/>
      <c r="L91" s="106"/>
      <c r="M91" s="99" t="str">
        <f aca="false">IF(OR(K91="",L91=""),"",IF((IF(L91="Alto",3,IF(L91="Médio",2,1))-IF(K91="Alto",3,IF(K91="Médio",2,1)))=2,"⚡ Quick win",IF((IF(L91="Alto",3,IF(L91="Médio",2,1))-IF(K91="Alto",3,IF(K91="Médio",2,1)))=1,"🚀 Alto retorno",IF(AND(L91="Alto",K91="Alto"),"🎯 Estratégica",IF((IF(L91="Alto",3,IF(L91="Médio",2,1))-IF(K91="Alto",3,IF(K91="Médio",2,1)))=0,"⚖ Equilibrada","⏳ Baixo retorno")))))</f>
        <v/>
      </c>
      <c r="N91" s="105"/>
      <c r="O91" s="105"/>
      <c r="P91" s="106"/>
      <c r="Q91" s="105"/>
      <c r="R91" s="107"/>
      <c r="S91" s="105"/>
      <c r="T91" s="107"/>
      <c r="U91" s="105"/>
    </row>
    <row r="92" customFormat="false" ht="15" hidden="false" customHeight="false" outlineLevel="0" collapsed="false">
      <c r="A92" s="101" t="s">
        <v>1630</v>
      </c>
      <c r="B92" s="102"/>
      <c r="C92" s="102"/>
      <c r="D92" s="102"/>
      <c r="E92" s="102"/>
      <c r="F92" s="99" t="str">
        <f aca="false">IF(E92="","",IFERROR(INDEX('Fontes e Parcerias'!$C$5:$C$500,MATCH(IFERROR(LEFT(E92,FIND(" · ",E92)-1),E92),'Fontes e Parcerias'!$A$5:$A$500,0)),"Fonte não encontrada"))</f>
        <v/>
      </c>
      <c r="G92" s="103"/>
      <c r="H92" s="102"/>
      <c r="I92" s="102"/>
      <c r="J92" s="117"/>
      <c r="K92" s="103"/>
      <c r="L92" s="103"/>
      <c r="M92" s="99" t="str">
        <f aca="false">IF(OR(K92="",L92=""),"",IF((IF(L92="Alto",3,IF(L92="Médio",2,1))-IF(K92="Alto",3,IF(K92="Médio",2,1)))=2,"⚡ Quick win",IF((IF(L92="Alto",3,IF(L92="Médio",2,1))-IF(K92="Alto",3,IF(K92="Médio",2,1)))=1,"🚀 Alto retorno",IF(AND(L92="Alto",K92="Alto"),"🎯 Estratégica",IF((IF(L92="Alto",3,IF(L92="Médio",2,1))-IF(K92="Alto",3,IF(K92="Médio",2,1)))=0,"⚖ Equilibrada","⏳ Baixo retorno")))))</f>
        <v/>
      </c>
      <c r="N92" s="102"/>
      <c r="O92" s="102"/>
      <c r="P92" s="103"/>
      <c r="Q92" s="102"/>
      <c r="R92" s="104"/>
      <c r="S92" s="102"/>
      <c r="T92" s="104"/>
      <c r="U92" s="102"/>
    </row>
    <row r="93" customFormat="false" ht="15" hidden="false" customHeight="false" outlineLevel="0" collapsed="false">
      <c r="A93" s="93" t="s">
        <v>1631</v>
      </c>
      <c r="B93" s="105"/>
      <c r="C93" s="105"/>
      <c r="D93" s="105"/>
      <c r="E93" s="105"/>
      <c r="F93" s="99" t="str">
        <f aca="false">IF(E93="","",IFERROR(INDEX('Fontes e Parcerias'!$C$5:$C$500,MATCH(IFERROR(LEFT(E93,FIND(" · ",E93)-1),E93),'Fontes e Parcerias'!$A$5:$A$500,0)),"Fonte não encontrada"))</f>
        <v/>
      </c>
      <c r="G93" s="106"/>
      <c r="H93" s="105"/>
      <c r="I93" s="105"/>
      <c r="J93" s="118"/>
      <c r="K93" s="106"/>
      <c r="L93" s="106"/>
      <c r="M93" s="99" t="str">
        <f aca="false">IF(OR(K93="",L93=""),"",IF((IF(L93="Alto",3,IF(L93="Médio",2,1))-IF(K93="Alto",3,IF(K93="Médio",2,1)))=2,"⚡ Quick win",IF((IF(L93="Alto",3,IF(L93="Médio",2,1))-IF(K93="Alto",3,IF(K93="Médio",2,1)))=1,"🚀 Alto retorno",IF(AND(L93="Alto",K93="Alto"),"🎯 Estratégica",IF((IF(L93="Alto",3,IF(L93="Médio",2,1))-IF(K93="Alto",3,IF(K93="Médio",2,1)))=0,"⚖ Equilibrada","⏳ Baixo retorno")))))</f>
        <v/>
      </c>
      <c r="N93" s="105"/>
      <c r="O93" s="105"/>
      <c r="P93" s="106"/>
      <c r="Q93" s="105"/>
      <c r="R93" s="107"/>
      <c r="S93" s="105"/>
      <c r="T93" s="107"/>
      <c r="U93" s="105"/>
    </row>
    <row r="94" customFormat="false" ht="15" hidden="false" customHeight="false" outlineLevel="0" collapsed="false">
      <c r="A94" s="101" t="s">
        <v>1632</v>
      </c>
      <c r="B94" s="102"/>
      <c r="C94" s="102"/>
      <c r="D94" s="102"/>
      <c r="E94" s="102"/>
      <c r="F94" s="99" t="str">
        <f aca="false">IF(E94="","",IFERROR(INDEX('Fontes e Parcerias'!$C$5:$C$500,MATCH(IFERROR(LEFT(E94,FIND(" · ",E94)-1),E94),'Fontes e Parcerias'!$A$5:$A$500,0)),"Fonte não encontrada"))</f>
        <v/>
      </c>
      <c r="G94" s="103"/>
      <c r="H94" s="102"/>
      <c r="I94" s="102"/>
      <c r="J94" s="117"/>
      <c r="K94" s="103"/>
      <c r="L94" s="103"/>
      <c r="M94" s="99" t="str">
        <f aca="false">IF(OR(K94="",L94=""),"",IF((IF(L94="Alto",3,IF(L94="Médio",2,1))-IF(K94="Alto",3,IF(K94="Médio",2,1)))=2,"⚡ Quick win",IF((IF(L94="Alto",3,IF(L94="Médio",2,1))-IF(K94="Alto",3,IF(K94="Médio",2,1)))=1,"🚀 Alto retorno",IF(AND(L94="Alto",K94="Alto"),"🎯 Estratégica",IF((IF(L94="Alto",3,IF(L94="Médio",2,1))-IF(K94="Alto",3,IF(K94="Médio",2,1)))=0,"⚖ Equilibrada","⏳ Baixo retorno")))))</f>
        <v/>
      </c>
      <c r="N94" s="102"/>
      <c r="O94" s="102"/>
      <c r="P94" s="103"/>
      <c r="Q94" s="102"/>
      <c r="R94" s="104"/>
      <c r="S94" s="102"/>
      <c r="T94" s="104"/>
      <c r="U94" s="102"/>
    </row>
    <row r="95" customFormat="false" ht="15" hidden="false" customHeight="false" outlineLevel="0" collapsed="false">
      <c r="A95" s="93" t="s">
        <v>1633</v>
      </c>
      <c r="B95" s="105"/>
      <c r="C95" s="105"/>
      <c r="D95" s="105"/>
      <c r="E95" s="105"/>
      <c r="F95" s="99" t="str">
        <f aca="false">IF(E95="","",IFERROR(INDEX('Fontes e Parcerias'!$C$5:$C$500,MATCH(IFERROR(LEFT(E95,FIND(" · ",E95)-1),E95),'Fontes e Parcerias'!$A$5:$A$500,0)),"Fonte não encontrada"))</f>
        <v/>
      </c>
      <c r="G95" s="106"/>
      <c r="H95" s="105"/>
      <c r="I95" s="105"/>
      <c r="J95" s="118"/>
      <c r="K95" s="106"/>
      <c r="L95" s="106"/>
      <c r="M95" s="99" t="str">
        <f aca="false">IF(OR(K95="",L95=""),"",IF((IF(L95="Alto",3,IF(L95="Médio",2,1))-IF(K95="Alto",3,IF(K95="Médio",2,1)))=2,"⚡ Quick win",IF((IF(L95="Alto",3,IF(L95="Médio",2,1))-IF(K95="Alto",3,IF(K95="Médio",2,1)))=1,"🚀 Alto retorno",IF(AND(L95="Alto",K95="Alto"),"🎯 Estratégica",IF((IF(L95="Alto",3,IF(L95="Médio",2,1))-IF(K95="Alto",3,IF(K95="Médio",2,1)))=0,"⚖ Equilibrada","⏳ Baixo retorno")))))</f>
        <v/>
      </c>
      <c r="N95" s="105"/>
      <c r="O95" s="105"/>
      <c r="P95" s="106"/>
      <c r="Q95" s="105"/>
      <c r="R95" s="107"/>
      <c r="S95" s="105"/>
      <c r="T95" s="107"/>
      <c r="U95" s="105"/>
    </row>
    <row r="96" customFormat="false" ht="15" hidden="false" customHeight="false" outlineLevel="0" collapsed="false">
      <c r="A96" s="101" t="s">
        <v>1634</v>
      </c>
      <c r="B96" s="102"/>
      <c r="C96" s="102"/>
      <c r="D96" s="102"/>
      <c r="E96" s="102"/>
      <c r="F96" s="99" t="str">
        <f aca="false">IF(E96="","",IFERROR(INDEX('Fontes e Parcerias'!$C$5:$C$500,MATCH(IFERROR(LEFT(E96,FIND(" · ",E96)-1),E96),'Fontes e Parcerias'!$A$5:$A$500,0)),"Fonte não encontrada"))</f>
        <v/>
      </c>
      <c r="G96" s="103"/>
      <c r="H96" s="102"/>
      <c r="I96" s="102"/>
      <c r="J96" s="117"/>
      <c r="K96" s="103"/>
      <c r="L96" s="103"/>
      <c r="M96" s="99" t="str">
        <f aca="false">IF(OR(K96="",L96=""),"",IF((IF(L96="Alto",3,IF(L96="Médio",2,1))-IF(K96="Alto",3,IF(K96="Médio",2,1)))=2,"⚡ Quick win",IF((IF(L96="Alto",3,IF(L96="Médio",2,1))-IF(K96="Alto",3,IF(K96="Médio",2,1)))=1,"🚀 Alto retorno",IF(AND(L96="Alto",K96="Alto"),"🎯 Estratégica",IF((IF(L96="Alto",3,IF(L96="Médio",2,1))-IF(K96="Alto",3,IF(K96="Médio",2,1)))=0,"⚖ Equilibrada","⏳ Baixo retorno")))))</f>
        <v/>
      </c>
      <c r="N96" s="102"/>
      <c r="O96" s="102"/>
      <c r="P96" s="103"/>
      <c r="Q96" s="102"/>
      <c r="R96" s="104"/>
      <c r="S96" s="102"/>
      <c r="T96" s="104"/>
      <c r="U96" s="102"/>
    </row>
    <row r="97" customFormat="false" ht="15" hidden="false" customHeight="false" outlineLevel="0" collapsed="false">
      <c r="A97" s="93" t="s">
        <v>1635</v>
      </c>
      <c r="B97" s="105"/>
      <c r="C97" s="105"/>
      <c r="D97" s="105"/>
      <c r="E97" s="105"/>
      <c r="F97" s="99" t="str">
        <f aca="false">IF(E97="","",IFERROR(INDEX('Fontes e Parcerias'!$C$5:$C$500,MATCH(IFERROR(LEFT(E97,FIND(" · ",E97)-1),E97),'Fontes e Parcerias'!$A$5:$A$500,0)),"Fonte não encontrada"))</f>
        <v/>
      </c>
      <c r="G97" s="106"/>
      <c r="H97" s="105"/>
      <c r="I97" s="105"/>
      <c r="J97" s="118"/>
      <c r="K97" s="106"/>
      <c r="L97" s="106"/>
      <c r="M97" s="99" t="str">
        <f aca="false">IF(OR(K97="",L97=""),"",IF((IF(L97="Alto",3,IF(L97="Médio",2,1))-IF(K97="Alto",3,IF(K97="Médio",2,1)))=2,"⚡ Quick win",IF((IF(L97="Alto",3,IF(L97="Médio",2,1))-IF(K97="Alto",3,IF(K97="Médio",2,1)))=1,"🚀 Alto retorno",IF(AND(L97="Alto",K97="Alto"),"🎯 Estratégica",IF((IF(L97="Alto",3,IF(L97="Médio",2,1))-IF(K97="Alto",3,IF(K97="Médio",2,1)))=0,"⚖ Equilibrada","⏳ Baixo retorno")))))</f>
        <v/>
      </c>
      <c r="N97" s="105"/>
      <c r="O97" s="105"/>
      <c r="P97" s="106"/>
      <c r="Q97" s="105"/>
      <c r="R97" s="107"/>
      <c r="S97" s="105"/>
      <c r="T97" s="107"/>
      <c r="U97" s="105"/>
    </row>
    <row r="98" customFormat="false" ht="15" hidden="false" customHeight="false" outlineLevel="0" collapsed="false">
      <c r="A98" s="101" t="s">
        <v>1636</v>
      </c>
      <c r="B98" s="102"/>
      <c r="C98" s="102"/>
      <c r="D98" s="102"/>
      <c r="E98" s="102"/>
      <c r="F98" s="99" t="str">
        <f aca="false">IF(E98="","",IFERROR(INDEX('Fontes e Parcerias'!$C$5:$C$500,MATCH(IFERROR(LEFT(E98,FIND(" · ",E98)-1),E98),'Fontes e Parcerias'!$A$5:$A$500,0)),"Fonte não encontrada"))</f>
        <v/>
      </c>
      <c r="G98" s="103"/>
      <c r="H98" s="102"/>
      <c r="I98" s="102"/>
      <c r="J98" s="117"/>
      <c r="K98" s="103"/>
      <c r="L98" s="103"/>
      <c r="M98" s="99" t="str">
        <f aca="false">IF(OR(K98="",L98=""),"",IF((IF(L98="Alto",3,IF(L98="Médio",2,1))-IF(K98="Alto",3,IF(K98="Médio",2,1)))=2,"⚡ Quick win",IF((IF(L98="Alto",3,IF(L98="Médio",2,1))-IF(K98="Alto",3,IF(K98="Médio",2,1)))=1,"🚀 Alto retorno",IF(AND(L98="Alto",K98="Alto"),"🎯 Estratégica",IF((IF(L98="Alto",3,IF(L98="Médio",2,1))-IF(K98="Alto",3,IF(K98="Médio",2,1)))=0,"⚖ Equilibrada","⏳ Baixo retorno")))))</f>
        <v/>
      </c>
      <c r="N98" s="102"/>
      <c r="O98" s="102"/>
      <c r="P98" s="103"/>
      <c r="Q98" s="102"/>
      <c r="R98" s="104"/>
      <c r="S98" s="102"/>
      <c r="T98" s="104"/>
      <c r="U98" s="102"/>
    </row>
    <row r="99" customFormat="false" ht="15" hidden="false" customHeight="false" outlineLevel="0" collapsed="false">
      <c r="A99" s="93" t="s">
        <v>1637</v>
      </c>
      <c r="B99" s="105"/>
      <c r="C99" s="105"/>
      <c r="D99" s="105"/>
      <c r="E99" s="105"/>
      <c r="F99" s="99" t="str">
        <f aca="false">IF(E99="","",IFERROR(INDEX('Fontes e Parcerias'!$C$5:$C$500,MATCH(IFERROR(LEFT(E99,FIND(" · ",E99)-1),E99),'Fontes e Parcerias'!$A$5:$A$500,0)),"Fonte não encontrada"))</f>
        <v/>
      </c>
      <c r="G99" s="106"/>
      <c r="H99" s="105"/>
      <c r="I99" s="105"/>
      <c r="J99" s="118"/>
      <c r="K99" s="106"/>
      <c r="L99" s="106"/>
      <c r="M99" s="99" t="str">
        <f aca="false">IF(OR(K99="",L99=""),"",IF((IF(L99="Alto",3,IF(L99="Médio",2,1))-IF(K99="Alto",3,IF(K99="Médio",2,1)))=2,"⚡ Quick win",IF((IF(L99="Alto",3,IF(L99="Médio",2,1))-IF(K99="Alto",3,IF(K99="Médio",2,1)))=1,"🚀 Alto retorno",IF(AND(L99="Alto",K99="Alto"),"🎯 Estratégica",IF((IF(L99="Alto",3,IF(L99="Médio",2,1))-IF(K99="Alto",3,IF(K99="Médio",2,1)))=0,"⚖ Equilibrada","⏳ Baixo retorno")))))</f>
        <v/>
      </c>
      <c r="N99" s="105"/>
      <c r="O99" s="105"/>
      <c r="P99" s="106"/>
      <c r="Q99" s="105"/>
      <c r="R99" s="107"/>
      <c r="S99" s="105"/>
      <c r="T99" s="107"/>
      <c r="U99" s="105"/>
    </row>
    <row r="100" customFormat="false" ht="15" hidden="false" customHeight="false" outlineLevel="0" collapsed="false">
      <c r="A100" s="101" t="s">
        <v>1638</v>
      </c>
      <c r="B100" s="102"/>
      <c r="C100" s="102"/>
      <c r="D100" s="102"/>
      <c r="E100" s="102"/>
      <c r="F100" s="99" t="str">
        <f aca="false">IF(E100="","",IFERROR(INDEX('Fontes e Parcerias'!$C$5:$C$500,MATCH(IFERROR(LEFT(E100,FIND(" · ",E100)-1),E100),'Fontes e Parcerias'!$A$5:$A$500,0)),"Fonte não encontrada"))</f>
        <v/>
      </c>
      <c r="G100" s="103"/>
      <c r="H100" s="102"/>
      <c r="I100" s="102"/>
      <c r="J100" s="117"/>
      <c r="K100" s="103"/>
      <c r="L100" s="103"/>
      <c r="M100" s="99" t="str">
        <f aca="false">IF(OR(K100="",L100=""),"",IF((IF(L100="Alto",3,IF(L100="Médio",2,1))-IF(K100="Alto",3,IF(K100="Médio",2,1)))=2,"⚡ Quick win",IF((IF(L100="Alto",3,IF(L100="Médio",2,1))-IF(K100="Alto",3,IF(K100="Médio",2,1)))=1,"🚀 Alto retorno",IF(AND(L100="Alto",K100="Alto"),"🎯 Estratégica",IF((IF(L100="Alto",3,IF(L100="Médio",2,1))-IF(K100="Alto",3,IF(K100="Médio",2,1)))=0,"⚖ Equilibrada","⏳ Baixo retorno")))))</f>
        <v/>
      </c>
      <c r="N100" s="102"/>
      <c r="O100" s="102"/>
      <c r="P100" s="103"/>
      <c r="Q100" s="102"/>
      <c r="R100" s="104"/>
      <c r="S100" s="102"/>
      <c r="T100" s="104"/>
      <c r="U100" s="102"/>
    </row>
    <row r="101" customFormat="false" ht="15" hidden="false" customHeight="false" outlineLevel="0" collapsed="false">
      <c r="A101" s="93" t="s">
        <v>1639</v>
      </c>
      <c r="B101" s="105"/>
      <c r="C101" s="105"/>
      <c r="D101" s="105"/>
      <c r="E101" s="105"/>
      <c r="F101" s="99" t="str">
        <f aca="false">IF(E101="","",IFERROR(INDEX('Fontes e Parcerias'!$C$5:$C$500,MATCH(IFERROR(LEFT(E101,FIND(" · ",E101)-1),E101),'Fontes e Parcerias'!$A$5:$A$500,0)),"Fonte não encontrada"))</f>
        <v/>
      </c>
      <c r="G101" s="106"/>
      <c r="H101" s="105"/>
      <c r="I101" s="105"/>
      <c r="J101" s="118"/>
      <c r="K101" s="106"/>
      <c r="L101" s="106"/>
      <c r="M101" s="99" t="str">
        <f aca="false">IF(OR(K101="",L101=""),"",IF((IF(L101="Alto",3,IF(L101="Médio",2,1))-IF(K101="Alto",3,IF(K101="Médio",2,1)))=2,"⚡ Quick win",IF((IF(L101="Alto",3,IF(L101="Médio",2,1))-IF(K101="Alto",3,IF(K101="Médio",2,1)))=1,"🚀 Alto retorno",IF(AND(L101="Alto",K101="Alto"),"🎯 Estratégica",IF((IF(L101="Alto",3,IF(L101="Médio",2,1))-IF(K101="Alto",3,IF(K101="Médio",2,1)))=0,"⚖ Equilibrada","⏳ Baixo retorno")))))</f>
        <v/>
      </c>
      <c r="N101" s="105"/>
      <c r="O101" s="105"/>
      <c r="P101" s="106"/>
      <c r="Q101" s="105"/>
      <c r="R101" s="107"/>
      <c r="S101" s="105"/>
      <c r="T101" s="107"/>
      <c r="U101" s="105"/>
    </row>
    <row r="102" customFormat="false" ht="15" hidden="false" customHeight="false" outlineLevel="0" collapsed="false">
      <c r="A102" s="101" t="s">
        <v>1640</v>
      </c>
      <c r="B102" s="102"/>
      <c r="C102" s="102"/>
      <c r="D102" s="102"/>
      <c r="E102" s="102"/>
      <c r="F102" s="99" t="str">
        <f aca="false">IF(E102="","",IFERROR(INDEX('Fontes e Parcerias'!$C$5:$C$500,MATCH(IFERROR(LEFT(E102,FIND(" · ",E102)-1),E102),'Fontes e Parcerias'!$A$5:$A$500,0)),"Fonte não encontrada"))</f>
        <v/>
      </c>
      <c r="G102" s="103"/>
      <c r="H102" s="102"/>
      <c r="I102" s="102"/>
      <c r="J102" s="117"/>
      <c r="K102" s="103"/>
      <c r="L102" s="103"/>
      <c r="M102" s="99" t="str">
        <f aca="false">IF(OR(K102="",L102=""),"",IF((IF(L102="Alto",3,IF(L102="Médio",2,1))-IF(K102="Alto",3,IF(K102="Médio",2,1)))=2,"⚡ Quick win",IF((IF(L102="Alto",3,IF(L102="Médio",2,1))-IF(K102="Alto",3,IF(K102="Médio",2,1)))=1,"🚀 Alto retorno",IF(AND(L102="Alto",K102="Alto"),"🎯 Estratégica",IF((IF(L102="Alto",3,IF(L102="Médio",2,1))-IF(K102="Alto",3,IF(K102="Médio",2,1)))=0,"⚖ Equilibrada","⏳ Baixo retorno")))))</f>
        <v/>
      </c>
      <c r="N102" s="102"/>
      <c r="O102" s="102"/>
      <c r="P102" s="103"/>
      <c r="Q102" s="102"/>
      <c r="R102" s="104"/>
      <c r="S102" s="102"/>
      <c r="T102" s="104"/>
      <c r="U102" s="102"/>
    </row>
    <row r="103" customFormat="false" ht="15" hidden="false" customHeight="false" outlineLevel="0" collapsed="false">
      <c r="A103" s="93" t="s">
        <v>1641</v>
      </c>
      <c r="B103" s="105"/>
      <c r="C103" s="105"/>
      <c r="D103" s="105"/>
      <c r="E103" s="105"/>
      <c r="F103" s="99" t="str">
        <f aca="false">IF(E103="","",IFERROR(INDEX('Fontes e Parcerias'!$C$5:$C$500,MATCH(IFERROR(LEFT(E103,FIND(" · ",E103)-1),E103),'Fontes e Parcerias'!$A$5:$A$500,0)),"Fonte não encontrada"))</f>
        <v/>
      </c>
      <c r="G103" s="106"/>
      <c r="H103" s="105"/>
      <c r="I103" s="105"/>
      <c r="J103" s="118"/>
      <c r="K103" s="106"/>
      <c r="L103" s="106"/>
      <c r="M103" s="99" t="str">
        <f aca="false">IF(OR(K103="",L103=""),"",IF((IF(L103="Alto",3,IF(L103="Médio",2,1))-IF(K103="Alto",3,IF(K103="Médio",2,1)))=2,"⚡ Quick win",IF((IF(L103="Alto",3,IF(L103="Médio",2,1))-IF(K103="Alto",3,IF(K103="Médio",2,1)))=1,"🚀 Alto retorno",IF(AND(L103="Alto",K103="Alto"),"🎯 Estratégica",IF((IF(L103="Alto",3,IF(L103="Médio",2,1))-IF(K103="Alto",3,IF(K103="Médio",2,1)))=0,"⚖ Equilibrada","⏳ Baixo retorno")))))</f>
        <v/>
      </c>
      <c r="N103" s="105"/>
      <c r="O103" s="105"/>
      <c r="P103" s="106"/>
      <c r="Q103" s="105"/>
      <c r="R103" s="107"/>
      <c r="S103" s="105"/>
      <c r="T103" s="107"/>
      <c r="U103" s="105"/>
    </row>
    <row r="104" customFormat="false" ht="15" hidden="false" customHeight="false" outlineLevel="0" collapsed="false">
      <c r="A104" s="101" t="s">
        <v>1642</v>
      </c>
      <c r="B104" s="102"/>
      <c r="C104" s="102"/>
      <c r="D104" s="102"/>
      <c r="E104" s="102"/>
      <c r="F104" s="99" t="str">
        <f aca="false">IF(E104="","",IFERROR(INDEX('Fontes e Parcerias'!$C$5:$C$500,MATCH(IFERROR(LEFT(E104,FIND(" · ",E104)-1),E104),'Fontes e Parcerias'!$A$5:$A$500,0)),"Fonte não encontrada"))</f>
        <v/>
      </c>
      <c r="G104" s="103"/>
      <c r="H104" s="102"/>
      <c r="I104" s="102"/>
      <c r="J104" s="117"/>
      <c r="K104" s="103"/>
      <c r="L104" s="103"/>
      <c r="M104" s="99" t="str">
        <f aca="false">IF(OR(K104="",L104=""),"",IF((IF(L104="Alto",3,IF(L104="Médio",2,1))-IF(K104="Alto",3,IF(K104="Médio",2,1)))=2,"⚡ Quick win",IF((IF(L104="Alto",3,IF(L104="Médio",2,1))-IF(K104="Alto",3,IF(K104="Médio",2,1)))=1,"🚀 Alto retorno",IF(AND(L104="Alto",K104="Alto"),"🎯 Estratégica",IF((IF(L104="Alto",3,IF(L104="Médio",2,1))-IF(K104="Alto",3,IF(K104="Médio",2,1)))=0,"⚖ Equilibrada","⏳ Baixo retorno")))))</f>
        <v/>
      </c>
      <c r="N104" s="102"/>
      <c r="O104" s="102"/>
      <c r="P104" s="103"/>
      <c r="Q104" s="102"/>
      <c r="R104" s="104"/>
      <c r="S104" s="102"/>
      <c r="T104" s="104"/>
      <c r="U104" s="102"/>
    </row>
  </sheetData>
  <autoFilter ref="A4:U104"/>
  <mergeCells count="7">
    <mergeCell ref="A3:D3"/>
    <mergeCell ref="E3:G3"/>
    <mergeCell ref="H3:J3"/>
    <mergeCell ref="K3:M3"/>
    <mergeCell ref="N3:O3"/>
    <mergeCell ref="P3:R3"/>
    <mergeCell ref="S3:U3"/>
  </mergeCells>
  <conditionalFormatting sqref="A5:A500">
    <cfRule type="expression" priority="2" aboveAverage="0" equalAverage="0" bottom="0" percent="0" rank="0" text="" dxfId="13">
      <formula>$B5&lt;&gt;""</formula>
    </cfRule>
  </conditionalFormatting>
  <conditionalFormatting sqref="P5:P500">
    <cfRule type="expression" priority="3" aboveAverage="0" equalAverage="0" bottom="0" percent="0" rank="0" text="" dxfId="14">
      <formula>$P5="Implantada"</formula>
    </cfRule>
    <cfRule type="expression" priority="4" aboveAverage="0" equalAverage="0" bottom="0" percent="0" rank="0" text="" dxfId="15">
      <formula>$P5="Em implantação"</formula>
    </cfRule>
    <cfRule type="expression" priority="5" aboveAverage="0" equalAverage="0" bottom="0" percent="0" rank="0" text="" dxfId="16">
      <formula>$P5="Aprovada"</formula>
    </cfRule>
    <cfRule type="expression" priority="6" aboveAverage="0" equalAverage="0" bottom="0" percent="0" rank="0" text="" dxfId="17">
      <formula>$P5="Em análise"</formula>
    </cfRule>
    <cfRule type="expression" priority="7" aboveAverage="0" equalAverage="0" bottom="0" percent="0" rank="0" text="" dxfId="31">
      <formula>$P5="Ideia"</formula>
    </cfRule>
    <cfRule type="expression" priority="8" aboveAverage="0" equalAverage="0" bottom="0" percent="0" rank="0" text="" dxfId="18">
      <formula>$P5="Descartada"</formula>
    </cfRule>
  </conditionalFormatting>
  <conditionalFormatting sqref="M5:M500">
    <cfRule type="expression" priority="9" aboveAverage="0" equalAverage="0" bottom="0" percent="0" rank="0" text="" dxfId="14">
      <formula>ISNUMBER(SEARCH("Quick win",$M5))</formula>
    </cfRule>
    <cfRule type="expression" priority="10" aboveAverage="0" equalAverage="0" bottom="0" percent="0" rank="0" text="" dxfId="29">
      <formula>ISNUMBER(SEARCH("Alto retorno",$M5))</formula>
    </cfRule>
    <cfRule type="expression" priority="11" aboveAverage="0" equalAverage="0" bottom="0" percent="0" rank="0" text="" dxfId="34">
      <formula>ISNUMBER(SEARCH("Estratégica",$M5))</formula>
    </cfRule>
    <cfRule type="expression" priority="12" aboveAverage="0" equalAverage="0" bottom="0" percent="0" rank="0" text="" dxfId="28">
      <formula>ISNUMBER(SEARCH("Equilibrada",$M5))</formula>
    </cfRule>
    <cfRule type="expression" priority="13" aboveAverage="0" equalAverage="0" bottom="0" percent="0" rank="0" text="" dxfId="35">
      <formula>ISNUMBER(SEARCH("Baixo retorno",$M5))</formula>
    </cfRule>
  </conditionalFormatting>
  <conditionalFormatting sqref="K5:K500">
    <cfRule type="expression" priority="14" aboveAverage="0" equalAverage="0" bottom="0" percent="0" rank="0" text="" dxfId="16">
      <formula>$K5="Baixo"</formula>
    </cfRule>
    <cfRule type="expression" priority="15" aboveAverage="0" equalAverage="0" bottom="0" percent="0" rank="0" text="" dxfId="17">
      <formula>$K5="Médio"</formula>
    </cfRule>
    <cfRule type="expression" priority="16" aboveAverage="0" equalAverage="0" bottom="0" percent="0" rank="0" text="" dxfId="30">
      <formula>$K5="Alto"</formula>
    </cfRule>
  </conditionalFormatting>
  <conditionalFormatting sqref="L5:L500">
    <cfRule type="expression" priority="17" aboveAverage="0" equalAverage="0" bottom="0" percent="0" rank="0" text="" dxfId="16">
      <formula>$L5="Alto"</formula>
    </cfRule>
    <cfRule type="expression" priority="18" aboveAverage="0" equalAverage="0" bottom="0" percent="0" rank="0" text="" dxfId="17">
      <formula>$L5="Médio"</formula>
    </cfRule>
    <cfRule type="expression" priority="19" aboveAverage="0" equalAverage="0" bottom="0" percent="0" rank="0" text="" dxfId="36">
      <formula>$L5="Baixo"</formula>
    </cfRule>
  </conditionalFormatting>
  <conditionalFormatting sqref="F5:F500">
    <cfRule type="expression" priority="20" aboveAverage="0" equalAverage="0" bottom="0" percent="0" rank="0" text="" dxfId="0">
      <formula>$F5="Fonte não encontrada"</formula>
    </cfRule>
  </conditionalFormatting>
  <conditionalFormatting sqref="R5:R500">
    <cfRule type="expression" priority="21" aboveAverage="0" equalAverage="0" bottom="0" percent="0" rank="0" text="" dxfId="0">
      <formula>AND($R5&lt;&gt;"",$R5&lt;TODAY(),$P5&lt;&gt;"Implantada",$P5&lt;&gt;"Descartada")</formula>
    </cfRule>
  </conditionalFormatting>
  <dataValidations count="8">
    <dataValidation allowBlank="true" error="Digite uma data válida no formato dd/mm/aaaa." errorStyle="stop" errorTitle="Data inválida" operator="greaterThan" showDropDown="false" showErrorMessage="true" showInputMessage="false" sqref="R5:R500 T5:T500" type="date">
      <formula1>36526</formula1>
      <formula2>0</formula2>
    </dataValidation>
    <dataValidation allowBlank="true" error="Digite um valor numérico maior ou igual a zero (ex.: 350 ou 0)." errorStyle="stop" errorTitle="Valor inválido" operator="greaterThanOrEqual" showDropDown="false" showErrorMessage="true" showInputMessage="false" sqref="J5:J500" type="decimal">
      <formula1>0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C5:C500" type="list">
      <formula1>lst_Prob_SEN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lst_Fontes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G5:G500" type="list">
      <formula1>lst_ComoDescobrimos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K5:K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P5:P500" type="list">
      <formula1>lst_StatusSolucao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0A6"/>
    <pageSetUpPr fitToPage="false"/>
  </sheetPr>
  <dimension ref="A1:L4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30"/>
  </cols>
  <sheetData>
    <row r="1" customFormat="false" ht="31.5" hidden="false" customHeight="true" outlineLevel="0" collapsed="false">
      <c r="A1" s="83" t="s">
        <v>1643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08" t="s">
        <v>70</v>
      </c>
      <c r="B2" s="135" t="s">
        <v>1644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</row>
    <row r="3" customFormat="false" ht="15" hidden="false" customHeight="false" outlineLevel="0" collapsed="false">
      <c r="A3" s="136" t="s">
        <v>1645</v>
      </c>
    </row>
    <row r="4" customFormat="false" ht="33.75" hidden="false" customHeight="true" outlineLevel="0" collapsed="false">
      <c r="A4" s="137" t="s">
        <v>1646</v>
      </c>
      <c r="B4" s="138" t="s">
        <v>1647</v>
      </c>
      <c r="C4" s="139" t="s">
        <v>1648</v>
      </c>
      <c r="D4" s="140" t="s">
        <v>1649</v>
      </c>
      <c r="E4" s="141" t="s">
        <v>1650</v>
      </c>
      <c r="F4" s="137" t="s">
        <v>660</v>
      </c>
      <c r="G4" s="138" t="s">
        <v>129</v>
      </c>
      <c r="H4" s="139" t="s">
        <v>1651</v>
      </c>
      <c r="I4" s="140" t="s">
        <v>1652</v>
      </c>
      <c r="J4" s="141" t="s">
        <v>1653</v>
      </c>
      <c r="K4" s="137" t="s">
        <v>1654</v>
      </c>
      <c r="L4" s="138" t="s">
        <v>1655</v>
      </c>
    </row>
    <row r="5" customFormat="false" ht="15" hidden="false" customHeight="false" outlineLevel="0" collapsed="false">
      <c r="A5" s="142" t="s">
        <v>542</v>
      </c>
      <c r="B5" s="142" t="s">
        <v>80</v>
      </c>
      <c r="C5" s="142" t="s">
        <v>1008</v>
      </c>
      <c r="D5" s="142" t="s">
        <v>1656</v>
      </c>
      <c r="E5" s="142" t="s">
        <v>139</v>
      </c>
      <c r="F5" s="142" t="s">
        <v>677</v>
      </c>
      <c r="G5" s="142" t="s">
        <v>106</v>
      </c>
      <c r="H5" s="142" t="s">
        <v>680</v>
      </c>
      <c r="I5" s="142" t="s">
        <v>99</v>
      </c>
      <c r="J5" s="142" t="s">
        <v>314</v>
      </c>
      <c r="K5" s="142" t="s">
        <v>1657</v>
      </c>
      <c r="L5" s="142" t="s">
        <v>143</v>
      </c>
    </row>
    <row r="6" customFormat="false" ht="15" hidden="false" customHeight="false" outlineLevel="0" collapsed="false">
      <c r="A6" s="143" t="s">
        <v>1658</v>
      </c>
      <c r="B6" s="143" t="s">
        <v>1220</v>
      </c>
      <c r="C6" s="143" t="s">
        <v>100</v>
      </c>
      <c r="D6" s="143" t="s">
        <v>1659</v>
      </c>
      <c r="E6" s="143" t="s">
        <v>1660</v>
      </c>
      <c r="F6" s="143" t="s">
        <v>1661</v>
      </c>
      <c r="G6" s="143" t="s">
        <v>107</v>
      </c>
      <c r="H6" s="143" t="s">
        <v>898</v>
      </c>
      <c r="I6" s="143" t="s">
        <v>100</v>
      </c>
      <c r="J6" s="143" t="s">
        <v>1662</v>
      </c>
      <c r="K6" s="143" t="s">
        <v>319</v>
      </c>
      <c r="L6" s="143" t="s">
        <v>90</v>
      </c>
    </row>
    <row r="7" customFormat="false" ht="15" hidden="false" customHeight="false" outlineLevel="0" collapsed="false">
      <c r="A7" s="142" t="s">
        <v>1663</v>
      </c>
      <c r="B7" s="142"/>
      <c r="C7" s="142" t="s">
        <v>546</v>
      </c>
      <c r="D7" s="142" t="s">
        <v>545</v>
      </c>
      <c r="E7" s="142" t="s">
        <v>1664</v>
      </c>
      <c r="F7" s="142" t="s">
        <v>1665</v>
      </c>
      <c r="G7" s="142" t="s">
        <v>108</v>
      </c>
      <c r="H7" s="142" t="s">
        <v>681</v>
      </c>
      <c r="I7" s="142" t="s">
        <v>101</v>
      </c>
      <c r="J7" s="142" t="s">
        <v>1666</v>
      </c>
      <c r="K7" s="142" t="s">
        <v>1667</v>
      </c>
      <c r="L7" s="142" t="s">
        <v>1668</v>
      </c>
    </row>
    <row r="8" customFormat="false" ht="15" hidden="false" customHeight="false" outlineLevel="0" collapsed="false">
      <c r="A8" s="143" t="s">
        <v>1004</v>
      </c>
      <c r="B8" s="143"/>
      <c r="C8" s="143" t="s">
        <v>1669</v>
      </c>
      <c r="D8" s="143" t="s">
        <v>1223</v>
      </c>
      <c r="E8" s="143" t="s">
        <v>1670</v>
      </c>
      <c r="F8" s="143" t="s">
        <v>1671</v>
      </c>
      <c r="G8" s="143" t="s">
        <v>109</v>
      </c>
      <c r="H8" s="143"/>
      <c r="I8" s="143" t="s">
        <v>87</v>
      </c>
      <c r="J8" s="143" t="s">
        <v>1672</v>
      </c>
      <c r="K8" s="143"/>
      <c r="L8" s="143" t="s">
        <v>1673</v>
      </c>
    </row>
    <row r="9" customFormat="false" ht="15" hidden="false" customHeight="false" outlineLevel="0" collapsed="false">
      <c r="A9" s="142" t="s">
        <v>1434</v>
      </c>
      <c r="B9" s="142"/>
      <c r="C9" s="142" t="s">
        <v>1674</v>
      </c>
      <c r="D9" s="142" t="s">
        <v>1675</v>
      </c>
      <c r="E9" s="142" t="s">
        <v>1676</v>
      </c>
      <c r="F9" s="142" t="s">
        <v>1677</v>
      </c>
      <c r="G9" s="142" t="s">
        <v>110</v>
      </c>
      <c r="H9" s="142"/>
      <c r="I9" s="142" t="s">
        <v>102</v>
      </c>
      <c r="J9" s="142" t="s">
        <v>1678</v>
      </c>
      <c r="K9" s="142"/>
      <c r="L9" s="142" t="s">
        <v>1679</v>
      </c>
    </row>
    <row r="10" customFormat="false" ht="15" hidden="false" customHeight="false" outlineLevel="0" collapsed="false">
      <c r="A10" s="143" t="s">
        <v>1680</v>
      </c>
      <c r="B10" s="143"/>
      <c r="C10" s="143" t="s">
        <v>1681</v>
      </c>
      <c r="D10" s="143" t="s">
        <v>791</v>
      </c>
      <c r="E10" s="143" t="s">
        <v>1682</v>
      </c>
      <c r="F10" s="143" t="s">
        <v>1683</v>
      </c>
      <c r="G10" s="143" t="s">
        <v>111</v>
      </c>
      <c r="H10" s="143"/>
      <c r="I10" s="143" t="s">
        <v>103</v>
      </c>
      <c r="J10" s="143" t="s">
        <v>1684</v>
      </c>
      <c r="K10" s="143"/>
      <c r="L10" s="143" t="s">
        <v>1685</v>
      </c>
    </row>
    <row r="11" customFormat="false" ht="15" hidden="false" customHeight="false" outlineLevel="0" collapsed="false">
      <c r="A11" s="142" t="s">
        <v>1686</v>
      </c>
      <c r="B11" s="142"/>
      <c r="C11" s="142"/>
      <c r="D11" s="142" t="s">
        <v>1687</v>
      </c>
      <c r="E11" s="142" t="s">
        <v>1688</v>
      </c>
      <c r="F11" s="142" t="s">
        <v>1689</v>
      </c>
      <c r="G11" s="142"/>
      <c r="H11" s="142"/>
      <c r="I11" s="142"/>
      <c r="J11" s="142" t="s">
        <v>1690</v>
      </c>
      <c r="K11" s="142"/>
      <c r="L11" s="142"/>
    </row>
    <row r="12" customFormat="false" ht="15" hidden="false" customHeight="false" outlineLevel="0" collapsed="false">
      <c r="A12" s="143" t="s">
        <v>1691</v>
      </c>
      <c r="B12" s="143"/>
      <c r="C12" s="143"/>
      <c r="D12" s="143" t="s">
        <v>1007</v>
      </c>
      <c r="E12" s="143" t="s">
        <v>1692</v>
      </c>
      <c r="F12" s="143" t="s">
        <v>1690</v>
      </c>
      <c r="G12" s="143"/>
      <c r="H12" s="143"/>
      <c r="I12" s="143"/>
      <c r="J12" s="143"/>
      <c r="K12" s="143"/>
      <c r="L12" s="143"/>
    </row>
    <row r="13" customFormat="false" ht="15" hidden="false" customHeight="false" outlineLevel="0" collapsed="false">
      <c r="A13" s="142" t="s">
        <v>1219</v>
      </c>
      <c r="B13" s="142"/>
      <c r="C13" s="142"/>
      <c r="D13" s="142"/>
      <c r="E13" s="142" t="s">
        <v>1690</v>
      </c>
      <c r="F13" s="142"/>
      <c r="G13" s="142"/>
      <c r="H13" s="142"/>
      <c r="I13" s="142"/>
      <c r="J13" s="142"/>
      <c r="K13" s="142"/>
      <c r="L13" s="142"/>
    </row>
    <row r="14" customFormat="false" ht="15" hidden="false" customHeight="false" outlineLevel="0" collapsed="false">
      <c r="A14" s="143" t="s">
        <v>788</v>
      </c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</row>
    <row r="15" customFormat="false" ht="15" hidden="false" customHeight="false" outlineLevel="0" collapsed="false">
      <c r="A15" s="142" t="s">
        <v>1693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</row>
    <row r="16" customFormat="false" ht="15" hidden="false" customHeight="false" outlineLevel="0" collapsed="false">
      <c r="A16" s="143" t="s">
        <v>1687</v>
      </c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</row>
    <row r="17" customFormat="false" ht="15" hidden="false" customHeight="false" outlineLevel="0" collapsed="false">
      <c r="A17" s="142" t="s">
        <v>1694</v>
      </c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</row>
    <row r="18" customFormat="false" ht="15" hidden="false" customHeight="false" outlineLevel="0" collapsed="false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</row>
    <row r="19" customFormat="false" ht="15" hidden="false" customHeight="false" outlineLevel="0" collapsed="false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</row>
    <row r="20" customFormat="false" ht="15" hidden="false" customHeight="false" outlineLevel="0" collapsed="false">
      <c r="A20" s="14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</row>
    <row r="21" customFormat="false" ht="15" hidden="false" customHeight="false" outlineLevel="0" collapsed="false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</row>
    <row r="22" customFormat="false" ht="15" hidden="false" customHeight="false" outlineLevel="0" collapsed="false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</row>
    <row r="23" customFormat="false" ht="15" hidden="false" customHeight="false" outlineLevel="0" collapsed="false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</row>
    <row r="24" customFormat="false" ht="15" hidden="false" customHeight="false" outlineLevel="0" collapsed="false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</row>
    <row r="25" customFormat="false" ht="15" hidden="false" customHeight="false" outlineLevel="0" collapsed="false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</row>
    <row r="26" customFormat="false" ht="15" hidden="false" customHeight="false" outlineLevel="0" collapsed="false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</row>
    <row r="27" customFormat="false" ht="15" hidden="false" customHeight="false" outlineLevel="0" collapsed="false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</row>
    <row r="28" customFormat="false" ht="15" hidden="false" customHeight="false" outlineLevel="0" collapsed="false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</row>
    <row r="29" customFormat="false" ht="15" hidden="false" customHeight="false" outlineLevel="0" collapsed="false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</row>
    <row r="30" customFormat="false" ht="15" hidden="false" customHeight="false" outlineLevel="0" collapsed="false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</row>
    <row r="31" customFormat="false" ht="15" hidden="false" customHeight="false" outlineLevel="0" collapsed="false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</row>
    <row r="32" customFormat="false" ht="15" hidden="false" customHeight="false" outlineLevel="0" collapsed="false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</row>
    <row r="33" customFormat="false" ht="15" hidden="false" customHeight="false" outlineLevel="0" collapsed="false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</row>
    <row r="34" customFormat="false" ht="15" hidden="false" customHeight="false" outlineLevel="0" collapsed="false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</row>
    <row r="35" customFormat="false" ht="15" hidden="false" customHeight="false" outlineLevel="0" collapsed="false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</row>
    <row r="36" customFormat="false" ht="15" hidden="false" customHeight="false" outlineLevel="0" collapsed="false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</row>
    <row r="37" customFormat="false" ht="15" hidden="false" customHeight="false" outlineLevel="0" collapsed="false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</row>
    <row r="38" customFormat="false" ht="15" hidden="false" customHeight="false" outlineLevel="0" collapsed="false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</row>
    <row r="39" customFormat="false" ht="15" hidden="false" customHeight="false" outlineLevel="0" collapsed="false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</row>
    <row r="40" customFormat="false" ht="15" hidden="false" customHeight="false" outlineLevel="0" collapsed="false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</row>
  </sheetData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2026-09-28T22:32:58Z</dcterms:created>
  <dc:creator>openpyxl</dc:creator>
  <dc:description/>
  <dc:language>en-US</dc:language>
  <cp:lastModifiedBy/>
  <dcterms:modified xsi:type="dcterms:W3CDTF">2026-09-28T22:33:03Z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